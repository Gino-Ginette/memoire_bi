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psabj-my.sharepoint.com/personal/gganye_beninpetro_com/Documents/Documents/memoire_bi/"/>
    </mc:Choice>
  </mc:AlternateContent>
  <xr:revisionPtr revIDLastSave="761" documentId="8_{245ECF86-76A3-4D04-817D-C5456EB42609}" xr6:coauthVersionLast="47" xr6:coauthVersionMax="47" xr10:uidLastSave="{67E15CA2-50A0-41EF-9CF6-7D1B55CA3C83}"/>
  <bookViews>
    <workbookView xWindow="-108" yWindow="-108" windowWidth="23256" windowHeight="13176" xr2:uid="{7A6CA190-2837-4F4B-BF5A-6119A87CF2E8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G120" i="1" a="1"/>
  <c r="G47" i="1" a="1"/>
  <c r="G144" i="1" a="1"/>
  <c r="G102" i="1" a="1"/>
  <c r="G11" i="1" a="1"/>
  <c r="G98" i="1" a="1"/>
  <c r="G148" i="1" a="1"/>
  <c r="G25" i="1" a="1"/>
  <c r="G94" i="1" a="1"/>
  <c r="G83" i="1" a="1"/>
  <c r="G77" i="1" a="1"/>
  <c r="G70" i="1" a="1"/>
  <c r="G2" i="1" a="1"/>
  <c r="G5" i="1" a="1"/>
  <c r="G113" i="1" a="1"/>
  <c r="G53" i="1" a="1"/>
  <c r="G46" i="1" a="1"/>
  <c r="G145" i="1" a="1"/>
  <c r="G133" i="1" a="1"/>
  <c r="G17" i="1" a="1"/>
  <c r="G14" i="1" a="1"/>
  <c r="G15" i="1" a="1"/>
  <c r="G142" i="1" a="1"/>
  <c r="G143" i="1" a="1"/>
  <c r="G28" i="1" a="1"/>
  <c r="G69" i="1" a="1"/>
  <c r="G147" i="1" a="1"/>
  <c r="G44" i="1" a="1"/>
  <c r="G55" i="1" a="1"/>
  <c r="G16" i="1" a="1"/>
  <c r="G104" i="1" a="1"/>
  <c r="G146" i="1" a="1"/>
  <c r="G125" i="1" a="1"/>
  <c r="G100" i="1" a="1"/>
  <c r="G108" i="1" a="1"/>
  <c r="G72" i="1" a="1"/>
  <c r="G80" i="1" a="1"/>
  <c r="G116" i="1" a="1"/>
  <c r="G7" i="1" a="1"/>
  <c r="G101" i="1" a="1"/>
  <c r="G13" i="1" a="1"/>
  <c r="G41" i="1" a="1"/>
  <c r="G86" i="1" a="1"/>
  <c r="G126" i="1" a="1"/>
  <c r="G21" i="1" a="1"/>
  <c r="G52" i="1" a="1"/>
  <c r="G22" i="1" a="1"/>
  <c r="G129" i="1" a="1"/>
  <c r="G31" i="1" a="1"/>
  <c r="G27" i="1" a="1"/>
  <c r="G95" i="1" a="1"/>
  <c r="G60" i="1" a="1"/>
  <c r="G50" i="1" a="1"/>
  <c r="G79" i="1" a="1"/>
  <c r="G26" i="1" a="1"/>
  <c r="G127" i="1" a="1"/>
  <c r="G118" i="1" a="1"/>
  <c r="G131" i="1" a="1"/>
  <c r="G110" i="1" a="1"/>
  <c r="G66" i="1" a="1"/>
  <c r="G4" i="1" a="1"/>
  <c r="G35" i="1" a="1"/>
  <c r="G96" i="1" a="1"/>
  <c r="G32" i="1" a="1"/>
  <c r="G10" i="1" a="1"/>
  <c r="G137" i="1" a="1"/>
  <c r="G91" i="1" a="1"/>
  <c r="G135" i="1" a="1"/>
  <c r="G57" i="1" a="1"/>
  <c r="G81" i="1" a="1"/>
  <c r="G34" i="1" a="1"/>
  <c r="G121" i="1" a="1"/>
  <c r="G123" i="1" a="1"/>
  <c r="G114" i="1" a="1"/>
  <c r="G106" i="1" a="1"/>
  <c r="G64" i="1" a="1"/>
  <c r="G73" i="1" a="1"/>
  <c r="G19" i="1" a="1"/>
  <c r="G136" i="1" a="1"/>
  <c r="G93" i="1" a="1"/>
  <c r="G82" i="1" a="1"/>
  <c r="G43" i="1" a="1"/>
  <c r="G109" i="1" a="1"/>
  <c r="G18" i="1" a="1"/>
  <c r="G9" i="1" a="1"/>
  <c r="G128" i="1" a="1"/>
  <c r="G30" i="1" a="1"/>
  <c r="G71" i="1" a="1"/>
  <c r="G59" i="1" a="1"/>
  <c r="G107" i="1" a="1"/>
  <c r="G119" i="1" a="1"/>
  <c r="G49" i="1" a="1"/>
  <c r="G6" i="1" a="1"/>
  <c r="G38" i="1" a="1"/>
  <c r="G23" i="1" a="1"/>
  <c r="G67" i="1" a="1"/>
  <c r="G140" i="1" a="1"/>
  <c r="G138" i="1" a="1"/>
  <c r="G122" i="1" a="1"/>
  <c r="G54" i="1" a="1"/>
  <c r="G48" i="1" a="1"/>
  <c r="G112" i="1" a="1"/>
  <c r="G68" i="1" a="1"/>
  <c r="G115" i="1" a="1"/>
  <c r="G139" i="1" a="1"/>
  <c r="G42" i="1" a="1"/>
  <c r="G12" i="1" a="1"/>
  <c r="G117" i="1" a="1"/>
  <c r="G65" i="1" a="1"/>
  <c r="G134" i="1" a="1"/>
  <c r="G3" i="1" a="1"/>
  <c r="G84" i="1" a="1"/>
  <c r="G97" i="1" a="1"/>
  <c r="G74" i="1" a="1"/>
  <c r="G78" i="1" a="1"/>
  <c r="G89" i="1" a="1"/>
  <c r="G33" i="1" a="1"/>
  <c r="G8" i="1" a="1"/>
  <c r="G130" i="1" a="1"/>
  <c r="G51" i="1" a="1"/>
  <c r="G141" i="1" a="1"/>
  <c r="G88" i="1" a="1"/>
  <c r="G58" i="1" a="1"/>
  <c r="G20" i="1" a="1"/>
  <c r="G62" i="1" a="1"/>
  <c r="G132" i="1" a="1"/>
  <c r="G76" i="1" a="1"/>
  <c r="G40" i="1" a="1"/>
  <c r="G75" i="1" a="1"/>
  <c r="G39" i="1" a="1"/>
  <c r="G36" i="1" a="1"/>
  <c r="G29" i="1" a="1"/>
  <c r="G56" i="1" a="1"/>
  <c r="G103" i="1" a="1"/>
  <c r="G61" i="1" a="1"/>
  <c r="G45" i="1" a="1"/>
  <c r="G111" i="1" a="1"/>
  <c r="G87" i="1" a="1"/>
  <c r="G124" i="1" a="1"/>
  <c r="G24" i="1" a="1"/>
  <c r="G90" i="1" a="1"/>
  <c r="G92" i="1" a="1"/>
  <c r="G37" i="1" a="1"/>
  <c r="G85" i="1" a="1"/>
  <c r="G99" i="1" a="1"/>
  <c r="G63" i="1" a="1"/>
  <c r="G105" i="1" a="1"/>
  <c r="G55" i="1" l="1"/>
  <c r="G104" i="1"/>
  <c r="G38" i="1"/>
  <c r="G62" i="1"/>
  <c r="G48" i="1"/>
  <c r="G23" i="1"/>
  <c r="G72" i="1"/>
  <c r="G141" i="1"/>
  <c r="G67" i="1"/>
  <c r="G4" i="1"/>
  <c r="G124" i="1"/>
  <c r="G87" i="1"/>
  <c r="G108" i="1"/>
  <c r="G25" i="1"/>
  <c r="G144" i="1"/>
  <c r="G18" i="1"/>
  <c r="G35" i="1"/>
  <c r="G140" i="1"/>
  <c r="G84" i="1"/>
  <c r="G80" i="1"/>
  <c r="G7" i="1"/>
  <c r="G93" i="1"/>
  <c r="G40" i="1"/>
  <c r="G116" i="1"/>
  <c r="G53" i="1"/>
  <c r="G75" i="1"/>
  <c r="G81" i="1"/>
  <c r="G24" i="1"/>
  <c r="G148" i="1"/>
  <c r="G39" i="1"/>
  <c r="G37" i="1"/>
  <c r="G95" i="1"/>
  <c r="G118" i="1"/>
  <c r="G107" i="1"/>
  <c r="G44" i="1"/>
  <c r="G133" i="1"/>
  <c r="G119" i="1"/>
  <c r="G56" i="1"/>
  <c r="G142" i="1"/>
  <c r="G79" i="1"/>
  <c r="G16" i="1"/>
  <c r="G102" i="1"/>
  <c r="G29" i="1"/>
  <c r="G138" i="1"/>
  <c r="G121" i="1"/>
  <c r="G21" i="1"/>
  <c r="G91" i="1"/>
  <c r="G109" i="1"/>
  <c r="G69" i="1"/>
  <c r="G9" i="1"/>
  <c r="G135" i="1"/>
  <c r="G58" i="1"/>
  <c r="G101" i="1"/>
  <c r="G41" i="1"/>
  <c r="G33" i="1"/>
  <c r="G19" i="1"/>
  <c r="G105" i="1"/>
  <c r="G42" i="1"/>
  <c r="G128" i="1"/>
  <c r="G65" i="1"/>
  <c r="G2" i="1"/>
  <c r="G115" i="1"/>
  <c r="G12" i="1"/>
  <c r="G22" i="1"/>
  <c r="G71" i="1"/>
  <c r="G110" i="1"/>
  <c r="G52" i="1"/>
  <c r="G15" i="1"/>
  <c r="G127" i="1"/>
  <c r="G134" i="1"/>
  <c r="G46" i="1"/>
  <c r="G86" i="1"/>
  <c r="G32" i="1"/>
  <c r="G68" i="1"/>
  <c r="G5" i="1"/>
  <c r="G114" i="1"/>
  <c r="G51" i="1"/>
  <c r="G54" i="1"/>
  <c r="G77" i="1"/>
  <c r="G90" i="1"/>
  <c r="G17" i="1"/>
  <c r="G103" i="1"/>
  <c r="G50" i="1"/>
  <c r="G126" i="1"/>
  <c r="G63" i="1"/>
  <c r="G10" i="1"/>
  <c r="G78" i="1"/>
  <c r="G85" i="1"/>
  <c r="G132" i="1"/>
  <c r="G6" i="1"/>
  <c r="G82" i="1"/>
  <c r="G111" i="1"/>
  <c r="G28" i="1"/>
  <c r="G117" i="1"/>
  <c r="G11" i="1"/>
  <c r="G14" i="1"/>
  <c r="G129" i="1"/>
  <c r="G66" i="1"/>
  <c r="G3" i="1"/>
  <c r="G89" i="1"/>
  <c r="G26" i="1"/>
  <c r="G112" i="1"/>
  <c r="G49" i="1"/>
  <c r="G98" i="1"/>
  <c r="G147" i="1"/>
  <c r="G47" i="1"/>
  <c r="G96" i="1"/>
  <c r="G120" i="1"/>
  <c r="G61" i="1"/>
  <c r="G27" i="1"/>
  <c r="G113" i="1"/>
  <c r="G60" i="1"/>
  <c r="G136" i="1"/>
  <c r="G73" i="1"/>
  <c r="G20" i="1"/>
  <c r="G100" i="1"/>
  <c r="G76" i="1"/>
  <c r="G13" i="1"/>
  <c r="G99" i="1"/>
  <c r="G36" i="1"/>
  <c r="G122" i="1"/>
  <c r="G59" i="1"/>
  <c r="G145" i="1"/>
  <c r="G45" i="1"/>
  <c r="G139" i="1"/>
  <c r="G94" i="1"/>
  <c r="G143" i="1"/>
  <c r="G64" i="1"/>
  <c r="G125" i="1"/>
  <c r="G131" i="1"/>
  <c r="G8" i="1"/>
  <c r="G88" i="1"/>
  <c r="G74" i="1"/>
  <c r="G31" i="1"/>
  <c r="G97" i="1"/>
  <c r="G34" i="1"/>
  <c r="G130" i="1"/>
  <c r="G57" i="1"/>
  <c r="G137" i="1"/>
  <c r="G123" i="1"/>
  <c r="G70" i="1"/>
  <c r="G146" i="1"/>
  <c r="G83" i="1"/>
  <c r="G30" i="1"/>
  <c r="G106" i="1"/>
  <c r="G43" i="1"/>
  <c r="G9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<sst xmlns="http://schemas.openxmlformats.org/spreadsheetml/2006/main" count="891" uniqueCount="484">
  <si>
    <t>Code Contact Client</t>
  </si>
  <si>
    <t>NOM CLIENT</t>
  </si>
  <si>
    <t>Code_sous_compte_Client</t>
  </si>
  <si>
    <t>Nom sous compte</t>
  </si>
  <si>
    <t>TYPE</t>
  </si>
  <si>
    <t>INTEMPOREL DES SERVICES ET TRAVAUX (IST)</t>
  </si>
  <si>
    <t>CC3046</t>
  </si>
  <si>
    <t>ETS DU COURAGE</t>
  </si>
  <si>
    <t>CC3021</t>
  </si>
  <si>
    <t>CC6482</t>
  </si>
  <si>
    <t>HOPA SARL</t>
  </si>
  <si>
    <t>CC3024</t>
  </si>
  <si>
    <t>NICE DREAM SARL</t>
  </si>
  <si>
    <t>NOUROU DISTRIBUTION ET SERVICES</t>
  </si>
  <si>
    <t>CC6784</t>
  </si>
  <si>
    <t>MONNOUMI</t>
  </si>
  <si>
    <t>CC4994</t>
  </si>
  <si>
    <t>HOME DESIGN BY LADY D</t>
  </si>
  <si>
    <t>CC6462</t>
  </si>
  <si>
    <t>SOCIETE DE DISTRIBUTION ET DE NEGOCE (SDN)</t>
  </si>
  <si>
    <t>CC6094</t>
  </si>
  <si>
    <t>ETS SCHIBA</t>
  </si>
  <si>
    <t>CC4828</t>
  </si>
  <si>
    <t>CC3029</t>
  </si>
  <si>
    <t>SOCIETE NOUVELLE SIGNATURE (SNS) SARL</t>
  </si>
  <si>
    <t>CC3026</t>
  </si>
  <si>
    <t>ELONMEX</t>
  </si>
  <si>
    <t>CC6656</t>
  </si>
  <si>
    <t>2M ASSOCIES</t>
  </si>
  <si>
    <t>CC6471</t>
  </si>
  <si>
    <t>AGBADJAGAN BOKO ROMAIN</t>
  </si>
  <si>
    <t>CC7369</t>
  </si>
  <si>
    <t>SOMAT GROUP</t>
  </si>
  <si>
    <t>CC3027</t>
  </si>
  <si>
    <t>DOSSMARC PLUS SARL</t>
  </si>
  <si>
    <t>CC3893</t>
  </si>
  <si>
    <t>ALPHA MARINE</t>
  </si>
  <si>
    <t>CC1922</t>
  </si>
  <si>
    <t>JB-CAR SARL</t>
  </si>
  <si>
    <t>CC3028</t>
  </si>
  <si>
    <t>GB-OIL</t>
  </si>
  <si>
    <t>CC2445</t>
  </si>
  <si>
    <t>SEXTANT</t>
  </si>
  <si>
    <t>CC3025</t>
  </si>
  <si>
    <t>CC7713</t>
  </si>
  <si>
    <t>CC2595</t>
  </si>
  <si>
    <t>SOCIETE DE DISTRIBUTION ALIMENTAIRES (SDA)</t>
  </si>
  <si>
    <t>CC6122</t>
  </si>
  <si>
    <t>CC4912</t>
  </si>
  <si>
    <t>CC4196</t>
  </si>
  <si>
    <t>AYODELE BUSINESS</t>
  </si>
  <si>
    <t>CC2614</t>
  </si>
  <si>
    <t>GIBLAND COMPAGNY</t>
  </si>
  <si>
    <t>CC2616</t>
  </si>
  <si>
    <t>TONI ET FILS</t>
  </si>
  <si>
    <t>CC2650</t>
  </si>
  <si>
    <t>Ets A I</t>
  </si>
  <si>
    <t>CC5522</t>
  </si>
  <si>
    <t>NONVI</t>
  </si>
  <si>
    <t>CC7858</t>
  </si>
  <si>
    <t>LE FILON INTERNATIONAL SARL (LEFIS)</t>
  </si>
  <si>
    <t>CC6516</t>
  </si>
  <si>
    <t>YTRYFA</t>
  </si>
  <si>
    <t>CC4328</t>
  </si>
  <si>
    <t>TRYFA</t>
  </si>
  <si>
    <t>CC3023</t>
  </si>
  <si>
    <t>SOCICA BENIN</t>
  </si>
  <si>
    <t>CC4468</t>
  </si>
  <si>
    <t>CC3018</t>
  </si>
  <si>
    <t>NETZACH DE AZ &amp; FILS</t>
  </si>
  <si>
    <t>CC4720</t>
  </si>
  <si>
    <t>EFTA CONSULTING SARL</t>
  </si>
  <si>
    <t>CC1498</t>
  </si>
  <si>
    <t>PUISSANCE GLORIEUSE</t>
  </si>
  <si>
    <t>CC4993</t>
  </si>
  <si>
    <t>WASHIMAC RESOURCES</t>
  </si>
  <si>
    <t>CC5316</t>
  </si>
  <si>
    <t>GOZA GROUP</t>
  </si>
  <si>
    <t>CC5433</t>
  </si>
  <si>
    <t>ISSIFOU ET FILS</t>
  </si>
  <si>
    <t>CC5470</t>
  </si>
  <si>
    <t>ETS MINTOHOUN ET FILS</t>
  </si>
  <si>
    <t>CC5791</t>
  </si>
  <si>
    <t>SH EXECUTIVE MANAGEMENT SERVICES</t>
  </si>
  <si>
    <t>CC4348</t>
  </si>
  <si>
    <t>RATEL ET COMPAGNIE</t>
  </si>
  <si>
    <t>CC6934</t>
  </si>
  <si>
    <t>CC5971</t>
  </si>
  <si>
    <t>VALUE CONSULTING ET LOGISTICS</t>
  </si>
  <si>
    <t>CC6131</t>
  </si>
  <si>
    <t>ETS SAINT BENOIT</t>
  </si>
  <si>
    <t>CC2758</t>
  </si>
  <si>
    <t>CC6165</t>
  </si>
  <si>
    <t>BAYAL ET FILS</t>
  </si>
  <si>
    <t>CC4473</t>
  </si>
  <si>
    <t>MARJOREL SERVICES</t>
  </si>
  <si>
    <t>CC6169</t>
  </si>
  <si>
    <t>PREST-IMPEX SARL</t>
  </si>
  <si>
    <t>CC6231</t>
  </si>
  <si>
    <t>CC7283</t>
  </si>
  <si>
    <t>SHARON AND PARTNERS ENERGY</t>
  </si>
  <si>
    <t>CC6783</t>
  </si>
  <si>
    <t>ESSENAM OIL</t>
  </si>
  <si>
    <t>CC7281</t>
  </si>
  <si>
    <t>LINARCEL</t>
  </si>
  <si>
    <t>CC7401</t>
  </si>
  <si>
    <t>BONON</t>
  </si>
  <si>
    <t>CC7603</t>
  </si>
  <si>
    <t>SAVOIR PETROLEUM</t>
  </si>
  <si>
    <t>CC6810</t>
  </si>
  <si>
    <t>CC7331</t>
  </si>
  <si>
    <t>CC7433</t>
  </si>
  <si>
    <t>HYDROCARBURE DISTRIBUTION (HYDRODIS)</t>
  </si>
  <si>
    <t>CC7030</t>
  </si>
  <si>
    <t>MAGNIFISCENCE</t>
  </si>
  <si>
    <t>CC7186</t>
  </si>
  <si>
    <t>IKEOLORUN SARL</t>
  </si>
  <si>
    <t>CC3022</t>
  </si>
  <si>
    <t>BENI DISTRIBUTION ET SERVICES (BDS)</t>
  </si>
  <si>
    <t>CC7346</t>
  </si>
  <si>
    <t>VANECOM</t>
  </si>
  <si>
    <t>CC7375</t>
  </si>
  <si>
    <t>JM PETRO (JMP)</t>
  </si>
  <si>
    <t>CC7451</t>
  </si>
  <si>
    <t>ADOUNI PLUS</t>
  </si>
  <si>
    <t>CC6791</t>
  </si>
  <si>
    <t>AKIONLA AND CO</t>
  </si>
  <si>
    <t>CC7553</t>
  </si>
  <si>
    <t>ETS BOROU ET FILS</t>
  </si>
  <si>
    <t>CC7558</t>
  </si>
  <si>
    <t>SOUDURE CONSTRUCTION INDUSTRIELLE DU BENIN (SCI )</t>
  </si>
  <si>
    <t>CC7560</t>
  </si>
  <si>
    <t>ASG GROUP</t>
  </si>
  <si>
    <t>CC7564</t>
  </si>
  <si>
    <t>JABABIAH ET LECABEL</t>
  </si>
  <si>
    <t>CC7783</t>
  </si>
  <si>
    <t>CC7872</t>
  </si>
  <si>
    <t>CC7754</t>
  </si>
  <si>
    <t>AGRO-ALBIO SARL UNIPERSONNELLE</t>
  </si>
  <si>
    <t>CC7425</t>
  </si>
  <si>
    <t>CC7540</t>
  </si>
  <si>
    <t>CC7909</t>
  </si>
  <si>
    <t>HGB CONTINENTAL</t>
  </si>
  <si>
    <t>CC7926</t>
  </si>
  <si>
    <t>CC7954</t>
  </si>
  <si>
    <t>SOGETRAS</t>
  </si>
  <si>
    <t>CC8003</t>
  </si>
  <si>
    <t>CC8002</t>
  </si>
  <si>
    <t>STATION TANKPÊ</t>
  </si>
  <si>
    <t>CC8008</t>
  </si>
  <si>
    <t>CC8014</t>
  </si>
  <si>
    <t>CC8015</t>
  </si>
  <si>
    <t>CC8038</t>
  </si>
  <si>
    <t>STATION DOWA</t>
  </si>
  <si>
    <t>CC8106</t>
  </si>
  <si>
    <t>STATION KILIBO</t>
  </si>
  <si>
    <t>CC8124</t>
  </si>
  <si>
    <t>CC7812</t>
  </si>
  <si>
    <t>CC8121</t>
  </si>
  <si>
    <t>STATION SAVE (EX SONACOP)</t>
  </si>
  <si>
    <t>CC8190</t>
  </si>
  <si>
    <t>CC8216</t>
  </si>
  <si>
    <t>LE REVEIL TOSSOU &amp; FILS</t>
  </si>
  <si>
    <t>CC8203</t>
  </si>
  <si>
    <t>STATION JONQUET (EX SONACOP)</t>
  </si>
  <si>
    <t>CC8338</t>
  </si>
  <si>
    <t>CC8444</t>
  </si>
  <si>
    <t>CC8430</t>
  </si>
  <si>
    <t>TTA ENERGIES ET RESEAUX</t>
  </si>
  <si>
    <t>DODO</t>
  </si>
  <si>
    <t>CODO</t>
  </si>
  <si>
    <t>CC8648</t>
  </si>
  <si>
    <t>STATION HLACOMEY</t>
  </si>
  <si>
    <t>CC8259</t>
  </si>
  <si>
    <t>STATION SAINTE CÉCILE</t>
  </si>
  <si>
    <t>CC8574</t>
  </si>
  <si>
    <t>STATION NATITINGOU 1</t>
  </si>
  <si>
    <t>CC8214</t>
  </si>
  <si>
    <t>STATION BOULEVARD MARINA</t>
  </si>
  <si>
    <t>STATION COMMISSARIAT CENTRAL</t>
  </si>
  <si>
    <t>ABBE SOLO</t>
  </si>
  <si>
    <t>CC3045</t>
  </si>
  <si>
    <t>STATION HEVIE</t>
  </si>
  <si>
    <t>ADOUNI PLUS SARL (NE PLUS UTILISER)</t>
  </si>
  <si>
    <t>CC6139</t>
  </si>
  <si>
    <t>AGENCE AFRICAINE DE TOURISME (A.A.T)</t>
  </si>
  <si>
    <t>CC3215</t>
  </si>
  <si>
    <t>STATION SAINT MICHEL</t>
  </si>
  <si>
    <t>AGENCE DE TRAVAUX PUBLICS SARL (A.T.P. SARL)</t>
  </si>
  <si>
    <t>CC3016</t>
  </si>
  <si>
    <t>ALBARIKA ENERGY NR.</t>
  </si>
  <si>
    <t>STATION IITA</t>
  </si>
  <si>
    <t>AMDG SARL</t>
  </si>
  <si>
    <t>CC1961</t>
  </si>
  <si>
    <t>STATION HOUNDJROTO</t>
  </si>
  <si>
    <t>STATION OUIDAH</t>
  </si>
  <si>
    <t>BABA LO TOBI SARL</t>
  </si>
  <si>
    <t>CC6182</t>
  </si>
  <si>
    <t>STATION POBE</t>
  </si>
  <si>
    <t>STATION ZE</t>
  </si>
  <si>
    <t>BENIN DIEU EST FIDELE</t>
  </si>
  <si>
    <t>CC3223</t>
  </si>
  <si>
    <t>STATION KOUHOUNOU</t>
  </si>
  <si>
    <t>BIBARIZ</t>
  </si>
  <si>
    <t>CC8745</t>
  </si>
  <si>
    <t>STATION SODJATIMEY</t>
  </si>
  <si>
    <t>BLT BÉNIN</t>
  </si>
  <si>
    <t>CC8668</t>
  </si>
  <si>
    <t>STATION SERVICE GBEGAMEY1</t>
  </si>
  <si>
    <t>BP STATION  AKASSATO</t>
  </si>
  <si>
    <t>CC1966</t>
  </si>
  <si>
    <t>STATION AKASSATO</t>
  </si>
  <si>
    <t>BP STATION PARAKOU</t>
  </si>
  <si>
    <t>CC3227</t>
  </si>
  <si>
    <t>STATION GUÊMAN</t>
  </si>
  <si>
    <t>BUSINESS COMPANY INTERNATIONAL</t>
  </si>
  <si>
    <t>CC6594</t>
  </si>
  <si>
    <t>CHRIST GERME</t>
  </si>
  <si>
    <t>COMPTOIR AFRICAIN DE SERVICE (Ksarl)</t>
  </si>
  <si>
    <t>CC3218</t>
  </si>
  <si>
    <t>STATION FIFADJI</t>
  </si>
  <si>
    <t>DGK-SERVICES</t>
  </si>
  <si>
    <t>CC2799</t>
  </si>
  <si>
    <t>STATION AZOVE</t>
  </si>
  <si>
    <t>DIAMANT ET FILS</t>
  </si>
  <si>
    <t>CC1591</t>
  </si>
  <si>
    <t>DOP SERVICES</t>
  </si>
  <si>
    <t>CC3208</t>
  </si>
  <si>
    <t>STATION CADJEHOUN</t>
  </si>
  <si>
    <t>STATION FIYEGNON</t>
  </si>
  <si>
    <t>ESCOM - BENIN</t>
  </si>
  <si>
    <t>CC4310</t>
  </si>
  <si>
    <t>STATION NOTRE DAME GANHI</t>
  </si>
  <si>
    <t>STATION NATITINGOU II</t>
  </si>
  <si>
    <t>Ets ALMO ET FILS</t>
  </si>
  <si>
    <t>CC3209</t>
  </si>
  <si>
    <t>STATION PARAKOU</t>
  </si>
  <si>
    <t>STATION MATERI (EX-SONACOP)</t>
  </si>
  <si>
    <t>STATION TANGUIETA</t>
  </si>
  <si>
    <t>STATION BOHICON</t>
  </si>
  <si>
    <t>STATION ZANGNALANDO</t>
  </si>
  <si>
    <t>ETS FOLORUNCHO</t>
  </si>
  <si>
    <t>CC3212</t>
  </si>
  <si>
    <t>STATION SOBETEX</t>
  </si>
  <si>
    <t>ETS KZ</t>
  </si>
  <si>
    <t>CC3207</t>
  </si>
  <si>
    <t>ETS LA FRANCHISE</t>
  </si>
  <si>
    <t>CC7488</t>
  </si>
  <si>
    <t>STATION MISSERETE</t>
  </si>
  <si>
    <t>CC3213</t>
  </si>
  <si>
    <t>STATION GBEWA</t>
  </si>
  <si>
    <t>STATION PAOUIGNAN</t>
  </si>
  <si>
    <t>EXPRESS SERVICES OVERLAND (ESO)</t>
  </si>
  <si>
    <t>CC7355</t>
  </si>
  <si>
    <t>GBETONDJI &amp; COMPANY</t>
  </si>
  <si>
    <t>CC7232</t>
  </si>
  <si>
    <t>STATION BANIKOARA</t>
  </si>
  <si>
    <t>STATION SINANGOUROU</t>
  </si>
  <si>
    <t>STATION TCHETTI</t>
  </si>
  <si>
    <t>STATION ATTAKE</t>
  </si>
  <si>
    <t>STATION DJAKOTOMEY</t>
  </si>
  <si>
    <t>HEEL ENERGY</t>
  </si>
  <si>
    <t>STATION LEGBA</t>
  </si>
  <si>
    <t>STATION DJOUGOU BANQUE</t>
  </si>
  <si>
    <t>STATION ADJAGBO</t>
  </si>
  <si>
    <t>STATION AKOGBATO</t>
  </si>
  <si>
    <t>STATION AGLA HLAZOUNTO</t>
  </si>
  <si>
    <t>STATION PAHOU</t>
  </si>
  <si>
    <t>STATION DJOUGOU TAÏFA</t>
  </si>
  <si>
    <t>STATION ZOUNGBONOU</t>
  </si>
  <si>
    <t>STATION GODOMEY CENTRE</t>
  </si>
  <si>
    <t>CC5567</t>
  </si>
  <si>
    <t>STATION TOGBA</t>
  </si>
  <si>
    <t>JENIDA</t>
  </si>
  <si>
    <t>CC7555</t>
  </si>
  <si>
    <t>STATION NIKKI GAH-MARO</t>
  </si>
  <si>
    <t>JOH AND</t>
  </si>
  <si>
    <t>STATION BOHICON MARCHE</t>
  </si>
  <si>
    <t>KELLY'S GROUP BENIN SARL</t>
  </si>
  <si>
    <t>CC3228</t>
  </si>
  <si>
    <t>KGZ Sarl</t>
  </si>
  <si>
    <t>CC3017</t>
  </si>
  <si>
    <t>LA 2SG SARL</t>
  </si>
  <si>
    <t>CC3020</t>
  </si>
  <si>
    <t>STATION OUEDO</t>
  </si>
  <si>
    <t>LE G ROUTIER</t>
  </si>
  <si>
    <t>CC6160</t>
  </si>
  <si>
    <t>STATION KETOU</t>
  </si>
  <si>
    <t>STATION COME</t>
  </si>
  <si>
    <t>CC3019</t>
  </si>
  <si>
    <t>L'OLIVIER SARL</t>
  </si>
  <si>
    <t>CC3775</t>
  </si>
  <si>
    <t>STATION LOKOSSA</t>
  </si>
  <si>
    <t>MBS SERVICES</t>
  </si>
  <si>
    <t>CC3853</t>
  </si>
  <si>
    <t>MERCYNE</t>
  </si>
  <si>
    <t>CC2443</t>
  </si>
  <si>
    <t>STATION AÏBATIN</t>
  </si>
  <si>
    <t>STATION ADJARRA DOCODJI</t>
  </si>
  <si>
    <t>STATION CANAL DOVONOU</t>
  </si>
  <si>
    <t>STATION AGLA PYLONES</t>
  </si>
  <si>
    <t>PACIS ABSOLUTUS SA</t>
  </si>
  <si>
    <t>CC3214</t>
  </si>
  <si>
    <t>PETRO BUSINESS</t>
  </si>
  <si>
    <t>PHILA GLOBAL SYSTEM</t>
  </si>
  <si>
    <t>CC3030</t>
  </si>
  <si>
    <t>PIMAD GROUPE</t>
  </si>
  <si>
    <t>STATION ATROKPOCODJI</t>
  </si>
  <si>
    <t>STATION GBEDJROMEDE 2/RATEL ET COMPAGNIE</t>
  </si>
  <si>
    <t>STATION COCOCODJI</t>
  </si>
  <si>
    <t>STATION GBODJE</t>
  </si>
  <si>
    <t>STATION TORI</t>
  </si>
  <si>
    <t>CC6980</t>
  </si>
  <si>
    <t>STATION DJOUGOU</t>
  </si>
  <si>
    <t>STATION MALANVILLE</t>
  </si>
  <si>
    <t>SEXTANT MALANVILLE</t>
  </si>
  <si>
    <t>CC4852</t>
  </si>
  <si>
    <t>STATION GBEDJROMEDE</t>
  </si>
  <si>
    <t>CC5451</t>
  </si>
  <si>
    <t>STATION LOBOZOUNKPA</t>
  </si>
  <si>
    <t>SIFED SARL</t>
  </si>
  <si>
    <t>CC7321</t>
  </si>
  <si>
    <t>STATION ABOMEY</t>
  </si>
  <si>
    <t>STATION CADJEHOUN (EX-SONACOP)</t>
  </si>
  <si>
    <t>STATION ATTOGON</t>
  </si>
  <si>
    <t>STATION CINE LE BORGOU (EX SONACOP)</t>
  </si>
  <si>
    <t>STATION COPARGO (EX SONACOP)</t>
  </si>
  <si>
    <t>CC8712</t>
  </si>
  <si>
    <t>STATION KANDI</t>
  </si>
  <si>
    <t>STATION NATITINGOU 3 (EX SONACOP)</t>
  </si>
  <si>
    <t>STATION OUAKE (EX SONACOP)</t>
  </si>
  <si>
    <t>STATION SAVALOU (EX SONACOP)</t>
  </si>
  <si>
    <t>STATION SINENDE (EX SONACOP)</t>
  </si>
  <si>
    <t>SOMAT &amp; FILS</t>
  </si>
  <si>
    <t>CC3224</t>
  </si>
  <si>
    <t>STATION AVOGBANNAN</t>
  </si>
  <si>
    <t>SOMAT PETRO</t>
  </si>
  <si>
    <t>CC8751</t>
  </si>
  <si>
    <t>STATION DASSA II</t>
  </si>
  <si>
    <t>STATION NDALI</t>
  </si>
  <si>
    <t>TOP INGENTRACT SARL</t>
  </si>
  <si>
    <t>CC4572</t>
  </si>
  <si>
    <t>CC3031</t>
  </si>
  <si>
    <t>STATION CICA TOYOTA</t>
  </si>
  <si>
    <t>STATION GBEGAMEY (EX SONACOP)</t>
  </si>
  <si>
    <t>VERTEX</t>
  </si>
  <si>
    <t>CC2607</t>
  </si>
  <si>
    <t>STATION NIKKI</t>
  </si>
  <si>
    <t>YEL AFRIQUE</t>
  </si>
  <si>
    <t>STATION BEAU RIVAGE</t>
  </si>
  <si>
    <t>ZEBRA CONTRACTING</t>
  </si>
  <si>
    <t>CC7489</t>
  </si>
  <si>
    <t>STATUT</t>
  </si>
  <si>
    <t>C0083</t>
  </si>
  <si>
    <t>Fonctionnelle</t>
  </si>
  <si>
    <t>C0438</t>
  </si>
  <si>
    <t>Fermé</t>
  </si>
  <si>
    <t>C2472</t>
  </si>
  <si>
    <t>C2241</t>
  </si>
  <si>
    <t>Ancien gérant</t>
  </si>
  <si>
    <t>C0687</t>
  </si>
  <si>
    <t>C0063</t>
  </si>
  <si>
    <t>C0001</t>
  </si>
  <si>
    <t>C2730</t>
  </si>
  <si>
    <t>C2783</t>
  </si>
  <si>
    <t>C3332</t>
  </si>
  <si>
    <t>C0893</t>
  </si>
  <si>
    <t>C0910</t>
  </si>
  <si>
    <t>C2788</t>
  </si>
  <si>
    <t>C1233</t>
  </si>
  <si>
    <t>C2262</t>
  </si>
  <si>
    <t>C1641</t>
  </si>
  <si>
    <t>C2697</t>
  </si>
  <si>
    <t>C0437</t>
  </si>
  <si>
    <t>C3116</t>
  </si>
  <si>
    <t>C3339</t>
  </si>
  <si>
    <t>C2801</t>
  </si>
  <si>
    <t>C0913</t>
  </si>
  <si>
    <t>C0935</t>
  </si>
  <si>
    <t>C2405</t>
  </si>
  <si>
    <t>C3032</t>
  </si>
  <si>
    <t>C0126</t>
  </si>
  <si>
    <t>C1281</t>
  </si>
  <si>
    <t>C0728</t>
  </si>
  <si>
    <t>C0036</t>
  </si>
  <si>
    <t>C1445</t>
  </si>
  <si>
    <t>C0671</t>
  </si>
  <si>
    <t>C2429</t>
  </si>
  <si>
    <t>C1574</t>
  </si>
  <si>
    <t>C2670</t>
  </si>
  <si>
    <t>C1403</t>
  </si>
  <si>
    <t>C0039</t>
  </si>
  <si>
    <t>C2786</t>
  </si>
  <si>
    <t>C0005</t>
  </si>
  <si>
    <t>C0040</t>
  </si>
  <si>
    <t>C0007</t>
  </si>
  <si>
    <t>C0317</t>
  </si>
  <si>
    <t>C2072</t>
  </si>
  <si>
    <t>C0042</t>
  </si>
  <si>
    <t>C0616</t>
  </si>
  <si>
    <t>C2701</t>
  </si>
  <si>
    <t>C2653</t>
  </si>
  <si>
    <t>C1206</t>
  </si>
  <si>
    <t>C1234</t>
  </si>
  <si>
    <t>C1952</t>
  </si>
  <si>
    <t>C2671</t>
  </si>
  <si>
    <t>C2946</t>
  </si>
  <si>
    <t>C2252</t>
  </si>
  <si>
    <t>C0662</t>
  </si>
  <si>
    <t>C2573</t>
  </si>
  <si>
    <t>C0310</t>
  </si>
  <si>
    <t>C1322</t>
  </si>
  <si>
    <t>C1963</t>
  </si>
  <si>
    <t>C2869</t>
  </si>
  <si>
    <t>C0934</t>
  </si>
  <si>
    <t>C2771</t>
  </si>
  <si>
    <t>C2742</t>
  </si>
  <si>
    <t>C3376</t>
  </si>
  <si>
    <t>C1108</t>
  </si>
  <si>
    <t>C0626</t>
  </si>
  <si>
    <t>C0633</t>
  </si>
  <si>
    <t>C1556</t>
  </si>
  <si>
    <t>C2251</t>
  </si>
  <si>
    <t>C3084</t>
  </si>
  <si>
    <t>C2745</t>
  </si>
  <si>
    <t>LGA</t>
  </si>
  <si>
    <t>CC7456</t>
  </si>
  <si>
    <t>STATION DEGUE GARE</t>
  </si>
  <si>
    <t>C0814</t>
  </si>
  <si>
    <t>C1379</t>
  </si>
  <si>
    <t>C2639</t>
  </si>
  <si>
    <t>C2255</t>
  </si>
  <si>
    <t>C1431</t>
  </si>
  <si>
    <t>C1205</t>
  </si>
  <si>
    <t>C1806</t>
  </si>
  <si>
    <t>C1665</t>
  </si>
  <si>
    <t>C0072</t>
  </si>
  <si>
    <t>C2535</t>
  </si>
  <si>
    <t>C2470</t>
  </si>
  <si>
    <t>C0051</t>
  </si>
  <si>
    <t>C2940</t>
  </si>
  <si>
    <t>C1023</t>
  </si>
  <si>
    <t>C3283</t>
  </si>
  <si>
    <t>C2280</t>
  </si>
  <si>
    <t>C1807</t>
  </si>
  <si>
    <t>C2167</t>
  </si>
  <si>
    <t>C2480</t>
  </si>
  <si>
    <t>C1110</t>
  </si>
  <si>
    <t>C1224</t>
  </si>
  <si>
    <t>C1586</t>
  </si>
  <si>
    <t>C2468</t>
  </si>
  <si>
    <t>C2686</t>
  </si>
  <si>
    <t>C1638</t>
  </si>
  <si>
    <t>C2230</t>
  </si>
  <si>
    <t>C2214</t>
  </si>
  <si>
    <t>C0650</t>
  </si>
  <si>
    <t>C2978</t>
  </si>
  <si>
    <t>C0522</t>
  </si>
  <si>
    <t>C0775</t>
  </si>
  <si>
    <t>C3388</t>
  </si>
  <si>
    <t>C2787</t>
  </si>
  <si>
    <t>C1249</t>
  </si>
  <si>
    <t>C1667</t>
  </si>
  <si>
    <t>C0365</t>
  </si>
  <si>
    <t>C3219</t>
  </si>
  <si>
    <t>C2236</t>
  </si>
  <si>
    <t>C2710</t>
  </si>
  <si>
    <t>C1230</t>
  </si>
  <si>
    <t>C1912</t>
  </si>
  <si>
    <t>C2982</t>
  </si>
  <si>
    <t>C1582</t>
  </si>
  <si>
    <t>C2755</t>
  </si>
  <si>
    <t>STATION AKASSATO PAVE KEREKOU</t>
  </si>
  <si>
    <t>C2779</t>
  </si>
  <si>
    <t>JOHAND'S MARKET</t>
  </si>
  <si>
    <t>CC8728</t>
  </si>
  <si>
    <t>TOKAN</t>
  </si>
  <si>
    <t>STATION SURU-LERE EX SONACOP</t>
  </si>
  <si>
    <t>STATION ZOGBO</t>
  </si>
  <si>
    <t>STATION BANTE</t>
  </si>
  <si>
    <t>STATION DASSA 1</t>
  </si>
  <si>
    <t>Code Station</t>
  </si>
  <si>
    <t>GROUPE TYPE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</si>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</sst>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64" formatCode="_-* #,##0.00_-;\-* #,##0.00_-;_-* &quot;-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3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3" borderId="0" xfId="0" applyFill="1"/>
    <xf numFmtId="0" fontId="0" fillId="4" borderId="0" xfId="0" applyFill="1"/>
    <xf numFmtId="164" fontId="2" fillId="2" borderId="0" xfId="1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3">
    <cellStyle name="Milliers [0]" xfId="1" builtinId="6"/>
    <cellStyle name="Normal" xfId="0" builtinId="0"/>
    <cellStyle name="Normal 2" xfId="2" xr:uid="{EA9C4F65-BC71-4D7D-BEAE-96C29653BFC8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_-* #,##0.00_-;\-* #,##0.00_-;_-* &quot;-&quot;_-;_-@_-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6E4B8917-4C6E-44A7-A12E-C92729DA67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573851-F3D9-4A7E-B878-3FBFE2355FF8}" name="Tableau1" displayName="Tableau1" ref="A1:H148" totalsRowShown="0" headerRowDxfId="23" dataDxfId="22" headerRowCellStyle="Milliers [0]">
  <autoFilter ref="A1:H148" xr:uid="{29573851-F3D9-4A7E-B878-3FBFE2355FF8}"/>
  <tableColumns count="8">
    <tableColumn id="2" xr3:uid="{A53EB553-D98A-4B38-9E4E-F8C3709CF085}" name="Code Contact Client" dataDxfId="21"/>
    <tableColumn id="3" xr3:uid="{29F01456-99D4-4B6B-B5CA-47530F897762}" name="NOM CLIENT" dataDxfId="20"/>
    <tableColumn id="4" xr3:uid="{E184BB5E-72AE-4490-A675-D93A5A3715E4}" name="Code_sous_compte_Client" dataDxfId="19"/>
    <tableColumn id="5" xr3:uid="{44CCA18A-0093-401C-B3F8-167B2946DADE}" name="Nom sous compte" dataDxfId="18"/>
    <tableColumn id="6" xr3:uid="{3BED5B17-0A43-4F25-8962-C7DDCDD8332E}" name="TYPE" dataDxfId="17"/>
    <tableColumn id="15" xr3:uid="{0CED8A9F-F8A9-48C4-BCBE-C8DDD7D986D3}" name="STATUT" dataDxfId="16"/>
    <tableColumn id="1" xr3:uid="{D4006DC3-467C-4753-931B-20D153A6C562}" name="Code Station" dataDxfId="15">
      <calculatedColumnFormula array="1">"ST"&amp;TEXT(SUMPRODUCT(1/COUNTIF(INDIRECT("$D$2:$D"&amp;(ROW($D$2)+MATCH(D2,$D$2:$D$148,0)-1)),$D$2:INDIRECT("$D"&amp;(ROW($D$2)+MATCH(D2,$D$2:$D$148,0)-1)))),"0000")</calculatedColumnFormula>
    </tableColumn>
    <tableColumn id="7" xr3:uid="{E8A8DF2A-258C-4161-8EDE-1E58C6262F3E}" name="GROUPE TYPE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0883-F369-4FA2-98F4-9A751A8F757E}">
  <dimension ref="A1:H148"/>
  <sheetViews>
    <sheetView tabSelected="1" workbookViewId="0">
      <selection activeCell="D10" sqref="D10"/>
    </sheetView>
  </sheetViews>
  <sheetFormatPr baseColWidth="10" defaultColWidth="11.44140625" defaultRowHeight="15" customHeight="1" x14ac:dyDescent="0.3"/>
  <cols>
    <col min="1" max="1" width="19.44140625" style="3" customWidth="1"/>
    <col min="2" max="2" width="49.88671875" bestFit="1" customWidth="1"/>
    <col min="3" max="3" width="24.77734375" customWidth="1"/>
    <col min="4" max="4" width="36.109375" bestFit="1" customWidth="1"/>
    <col min="5" max="5" width="28.77734375" bestFit="1" customWidth="1"/>
    <col min="6" max="6" width="12" bestFit="1" customWidth="1"/>
    <col min="7" max="7" width="14.33203125" customWidth="1"/>
  </cols>
  <sheetData>
    <row r="1" spans="1:8" ht="46.2" customHeigh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352</v>
      </c>
      <c r="G1" s="6" t="s">
        <v>481</v>
      </c>
      <c r="H1" s="6" t="s">
        <v>482</v>
      </c>
    </row>
    <row r="2" spans="1:8" ht="14.4" x14ac:dyDescent="0.3">
      <c r="A2" t="s">
        <v>353</v>
      </c>
      <c r="B2" t="s">
        <v>28</v>
      </c>
      <c r="C2" t="s">
        <v>29</v>
      </c>
      <c r="D2" t="s">
        <v>178</v>
      </c>
      <c r="E2" t="s">
        <v>170</v>
      </c>
      <c r="F2" t="s">
        <v>354</v>
      </c>
      <c r="G2" s="7" t="str" cm="1">
        <f t="array" aca="1" ref="G2" ca="1">"ST"&amp;TEXT(SUMPRODUCT(1/COUNTIF(INDIRECT("$D$2:$D"&amp;(ROW($D$2)+MATCH(D2,$D$2:$D$148,0)-1)),$D$2:INDIRECT("$D"&amp;(ROW($D$2)+MATCH(D2,$D$2:$D$148,0)-1)))),"0000")</f>
        <v>ST0001</v>
      </c>
      <c r="H2" t="s">
        <v>483</v>
      </c>
    </row>
    <row r="3" spans="1:8" ht="14.4" x14ac:dyDescent="0.3">
      <c r="A3" t="s">
        <v>353</v>
      </c>
      <c r="B3" t="s">
        <v>28</v>
      </c>
      <c r="C3" t="s">
        <v>68</v>
      </c>
      <c r="D3" t="s">
        <v>179</v>
      </c>
      <c r="E3" t="s">
        <v>170</v>
      </c>
      <c r="F3" t="s">
        <v>354</v>
      </c>
      <c r="G3" s="7" t="str" cm="1">
        <f t="array" aca="1" ref="G3" ca="1">"ST"&amp;TEXT(SUMPRODUCT(1/COUNTIF(INDIRECT("$D$2:$D"&amp;(ROW($D$2)+MATCH(D3,$D$2:$D$148,0)-1)),$D$2:INDIRECT("$D"&amp;(ROW($D$2)+MATCH(D3,$D$2:$D$148,0)-1)))),"0000")</f>
        <v>ST0002</v>
      </c>
      <c r="H3" t="str">
        <f>H2</f>
        <v>STATION</v>
      </c>
    </row>
    <row r="4" spans="1:8" ht="14.4" x14ac:dyDescent="0.3">
      <c r="A4" t="s">
        <v>355</v>
      </c>
      <c r="B4" t="s">
        <v>180</v>
      </c>
      <c r="C4" t="s">
        <v>181</v>
      </c>
      <c r="D4" t="s">
        <v>182</v>
      </c>
      <c r="E4" t="s">
        <v>170</v>
      </c>
      <c r="F4" t="s">
        <v>359</v>
      </c>
      <c r="G4" s="7" t="str" cm="1">
        <f t="array" aca="1" ref="G4" ca="1">"ST"&amp;TEXT(SUMPRODUCT(1/COUNTIF(INDIRECT("$D$2:$D"&amp;(ROW($D$2)+MATCH(D4,$D$2:$D$148,0)-1)),$D$2:INDIRECT("$D"&amp;(ROW($D$2)+MATCH(D4,$D$2:$D$148,0)-1)))),"0000")</f>
        <v>ST0003</v>
      </c>
      <c r="H4" t="str">
        <f t="shared" ref="H4:H67" si="0">H3</f>
        <v>STATION</v>
      </c>
    </row>
    <row r="5" spans="1:8" ht="14.4" x14ac:dyDescent="0.3">
      <c r="A5" t="s">
        <v>357</v>
      </c>
      <c r="B5" t="s">
        <v>124</v>
      </c>
      <c r="C5" t="s">
        <v>125</v>
      </c>
      <c r="D5" t="s">
        <v>477</v>
      </c>
      <c r="E5" t="s">
        <v>170</v>
      </c>
      <c r="F5" t="s">
        <v>354</v>
      </c>
      <c r="G5" s="7" t="str" cm="1">
        <f t="array" aca="1" ref="G5" ca="1">"ST"&amp;TEXT(SUMPRODUCT(1/COUNTIF(INDIRECT("$D$2:$D"&amp;(ROW($D$2)+MATCH(D5,$D$2:$D$148,0)-1)),$D$2:INDIRECT("$D"&amp;(ROW($D$2)+MATCH(D5,$D$2:$D$148,0)-1)))),"0000")</f>
        <v>ST0004</v>
      </c>
      <c r="H5" t="str">
        <f t="shared" si="0"/>
        <v>STATION</v>
      </c>
    </row>
    <row r="6" spans="1:8" ht="14.4" x14ac:dyDescent="0.3">
      <c r="A6" t="s">
        <v>358</v>
      </c>
      <c r="B6" t="s">
        <v>183</v>
      </c>
      <c r="C6" t="s">
        <v>184</v>
      </c>
      <c r="D6" t="s">
        <v>477</v>
      </c>
      <c r="E6" t="s">
        <v>170</v>
      </c>
      <c r="F6" t="s">
        <v>359</v>
      </c>
      <c r="G6" s="7" t="str" cm="1">
        <f t="array" aca="1" ref="G6" ca="1">"ST"&amp;TEXT(SUMPRODUCT(1/COUNTIF(INDIRECT("$D$2:$D"&amp;(ROW($D$2)+MATCH(D6,$D$2:$D$148,0)-1)),$D$2:INDIRECT("$D"&amp;(ROW($D$2)+MATCH(D6,$D$2:$D$148,0)-1)))),"0000")</f>
        <v>ST0004</v>
      </c>
      <c r="H6" t="str">
        <f t="shared" si="0"/>
        <v>STATION</v>
      </c>
    </row>
    <row r="7" spans="1:8" ht="14.4" x14ac:dyDescent="0.3">
      <c r="A7" t="s">
        <v>360</v>
      </c>
      <c r="B7" t="s">
        <v>30</v>
      </c>
      <c r="C7" t="s">
        <v>31</v>
      </c>
      <c r="D7" t="s">
        <v>287</v>
      </c>
      <c r="E7" t="s">
        <v>170</v>
      </c>
      <c r="F7" t="s">
        <v>354</v>
      </c>
      <c r="G7" s="7" t="str" cm="1">
        <f t="array" aca="1" ref="G7" ca="1">"ST"&amp;TEXT(SUMPRODUCT(1/COUNTIF(INDIRECT("$D$2:$D"&amp;(ROW($D$2)+MATCH(D7,$D$2:$D$148,0)-1)),$D$2:INDIRECT("$D"&amp;(ROW($D$2)+MATCH(D7,$D$2:$D$148,0)-1)))),"0000")</f>
        <v>ST0005</v>
      </c>
      <c r="H7" t="str">
        <f t="shared" si="0"/>
        <v>STATION</v>
      </c>
    </row>
    <row r="8" spans="1:8" ht="14.4" x14ac:dyDescent="0.3">
      <c r="A8" t="s">
        <v>361</v>
      </c>
      <c r="B8" t="s">
        <v>185</v>
      </c>
      <c r="C8" t="s">
        <v>186</v>
      </c>
      <c r="D8" t="s">
        <v>187</v>
      </c>
      <c r="E8" t="s">
        <v>169</v>
      </c>
      <c r="F8" t="s">
        <v>356</v>
      </c>
      <c r="G8" s="7" t="str" cm="1">
        <f t="array" aca="1" ref="G8" ca="1">"ST"&amp;TEXT(SUMPRODUCT(1/COUNTIF(INDIRECT("$D$2:$D"&amp;(ROW($D$2)+MATCH(D8,$D$2:$D$148,0)-1)),$D$2:INDIRECT("$D"&amp;(ROW($D$2)+MATCH(D8,$D$2:$D$148,0)-1)))),"0000")</f>
        <v>ST0006</v>
      </c>
      <c r="H8" t="str">
        <f t="shared" si="0"/>
        <v>STATION</v>
      </c>
    </row>
    <row r="9" spans="1:8" ht="14.4" x14ac:dyDescent="0.3">
      <c r="A9" t="s">
        <v>362</v>
      </c>
      <c r="B9" t="s">
        <v>188</v>
      </c>
      <c r="C9" t="s">
        <v>189</v>
      </c>
      <c r="D9" t="s">
        <v>176</v>
      </c>
      <c r="E9" t="s">
        <v>170</v>
      </c>
      <c r="F9" t="s">
        <v>359</v>
      </c>
      <c r="G9" s="7" t="str" cm="1">
        <f t="array" aca="1" ref="G9" ca="1">"ST"&amp;TEXT(SUMPRODUCT(1/COUNTIF(INDIRECT("$D$2:$D"&amp;(ROW($D$2)+MATCH(D9,$D$2:$D$148,0)-1)),$D$2:INDIRECT("$D"&amp;(ROW($D$2)+MATCH(D9,$D$2:$D$148,0)-1)))),"0000")</f>
        <v>ST0007</v>
      </c>
      <c r="H9" t="str">
        <f t="shared" si="0"/>
        <v>STATION</v>
      </c>
    </row>
    <row r="10" spans="1:8" ht="14.4" x14ac:dyDescent="0.3">
      <c r="A10" t="s">
        <v>363</v>
      </c>
      <c r="B10" t="s">
        <v>138</v>
      </c>
      <c r="C10" t="s">
        <v>139</v>
      </c>
      <c r="D10" t="s">
        <v>479</v>
      </c>
      <c r="E10" t="s">
        <v>169</v>
      </c>
      <c r="F10" t="s">
        <v>354</v>
      </c>
      <c r="G10" s="7" t="str" cm="1">
        <f t="array" aca="1" ref="G10" ca="1">"ST"&amp;TEXT(SUMPRODUCT(1/COUNTIF(INDIRECT("$D$2:$D"&amp;(ROW($D$2)+MATCH(D10,$D$2:$D$148,0)-1)),$D$2:INDIRECT("$D"&amp;(ROW($D$2)+MATCH(D10,$D$2:$D$148,0)-1)))),"0000")</f>
        <v>ST0008</v>
      </c>
      <c r="H10" t="str">
        <f t="shared" si="0"/>
        <v>STATION</v>
      </c>
    </row>
    <row r="11" spans="1:8" ht="14.4" x14ac:dyDescent="0.3">
      <c r="A11" t="s">
        <v>364</v>
      </c>
      <c r="B11" t="s">
        <v>126</v>
      </c>
      <c r="C11" t="s">
        <v>127</v>
      </c>
      <c r="D11" t="s">
        <v>272</v>
      </c>
      <c r="E11" t="s">
        <v>170</v>
      </c>
      <c r="F11" t="s">
        <v>354</v>
      </c>
      <c r="G11" s="7" t="str" cm="1">
        <f t="array" aca="1" ref="G11" ca="1">"ST"&amp;TEXT(SUMPRODUCT(1/COUNTIF(INDIRECT("$D$2:$D"&amp;(ROW($D$2)+MATCH(D11,$D$2:$D$148,0)-1)),$D$2:INDIRECT("$D"&amp;(ROW($D$2)+MATCH(D11,$D$2:$D$148,0)-1)))),"0000")</f>
        <v>ST0009</v>
      </c>
      <c r="H11" t="str">
        <f t="shared" si="0"/>
        <v>STATION</v>
      </c>
    </row>
    <row r="12" spans="1:8" ht="14.4" x14ac:dyDescent="0.3">
      <c r="A12" t="s">
        <v>365</v>
      </c>
      <c r="B12" t="s">
        <v>190</v>
      </c>
      <c r="C12" t="s">
        <v>171</v>
      </c>
      <c r="D12" t="s">
        <v>300</v>
      </c>
      <c r="E12" t="s">
        <v>170</v>
      </c>
      <c r="F12" t="s">
        <v>354</v>
      </c>
      <c r="G12" s="7" t="str" cm="1">
        <f t="array" aca="1" ref="G12" ca="1">"ST"&amp;TEXT(SUMPRODUCT(1/COUNTIF(INDIRECT("$D$2:$D"&amp;(ROW($D$2)+MATCH(D12,$D$2:$D$148,0)-1)),$D$2:INDIRECT("$D"&amp;(ROW($D$2)+MATCH(D12,$D$2:$D$148,0)-1)))),"0000")</f>
        <v>ST0010</v>
      </c>
      <c r="H12" t="str">
        <f t="shared" si="0"/>
        <v>STATION</v>
      </c>
    </row>
    <row r="13" spans="1:8" ht="14.4" x14ac:dyDescent="0.3">
      <c r="A13" t="s">
        <v>366</v>
      </c>
      <c r="B13" t="s">
        <v>36</v>
      </c>
      <c r="C13" t="s">
        <v>37</v>
      </c>
      <c r="D13" t="s">
        <v>191</v>
      </c>
      <c r="E13" t="s">
        <v>170</v>
      </c>
      <c r="F13" t="s">
        <v>354</v>
      </c>
      <c r="G13" s="7" t="str" cm="1">
        <f t="array" aca="1" ref="G13" ca="1">"ST"&amp;TEXT(SUMPRODUCT(1/COUNTIF(INDIRECT("$D$2:$D"&amp;(ROW($D$2)+MATCH(D13,$D$2:$D$148,0)-1)),$D$2:INDIRECT("$D"&amp;(ROW($D$2)+MATCH(D13,$D$2:$D$148,0)-1)))),"0000")</f>
        <v>ST0011</v>
      </c>
      <c r="H13" t="str">
        <f t="shared" si="0"/>
        <v>STATION</v>
      </c>
    </row>
    <row r="14" spans="1:8" ht="14.4" x14ac:dyDescent="0.3">
      <c r="A14" t="s">
        <v>367</v>
      </c>
      <c r="B14" t="s">
        <v>192</v>
      </c>
      <c r="C14" t="s">
        <v>193</v>
      </c>
      <c r="D14" t="s">
        <v>349</v>
      </c>
      <c r="E14" t="s">
        <v>170</v>
      </c>
      <c r="F14" t="s">
        <v>359</v>
      </c>
      <c r="G14" s="7" t="str" cm="1">
        <f t="array" aca="1" ref="G14" ca="1">"ST"&amp;TEXT(SUMPRODUCT(1/COUNTIF(INDIRECT("$D$2:$D"&amp;(ROW($D$2)+MATCH(D14,$D$2:$D$148,0)-1)),$D$2:INDIRECT("$D"&amp;(ROW($D$2)+MATCH(D14,$D$2:$D$148,0)-1)))),"0000")</f>
        <v>ST0012</v>
      </c>
      <c r="H14" t="str">
        <f t="shared" si="0"/>
        <v>STATION</v>
      </c>
    </row>
    <row r="15" spans="1:8" ht="14.4" x14ac:dyDescent="0.3">
      <c r="A15" t="s">
        <v>368</v>
      </c>
      <c r="B15" t="s">
        <v>132</v>
      </c>
      <c r="C15" t="s">
        <v>133</v>
      </c>
      <c r="D15" t="s">
        <v>194</v>
      </c>
      <c r="E15" t="s">
        <v>170</v>
      </c>
      <c r="F15" t="s">
        <v>354</v>
      </c>
      <c r="G15" s="7" t="str" cm="1">
        <f t="array" aca="1" ref="G15" ca="1">"ST"&amp;TEXT(SUMPRODUCT(1/COUNTIF(INDIRECT("$D$2:$D"&amp;(ROW($D$2)+MATCH(D15,$D$2:$D$148,0)-1)),$D$2:INDIRECT("$D"&amp;(ROW($D$2)+MATCH(D15,$D$2:$D$148,0)-1)))),"0000")</f>
        <v>ST0013</v>
      </c>
      <c r="H15" t="str">
        <f t="shared" si="0"/>
        <v>STATION</v>
      </c>
    </row>
    <row r="16" spans="1:8" ht="14.4" x14ac:dyDescent="0.3">
      <c r="A16" t="s">
        <v>369</v>
      </c>
      <c r="B16" t="s">
        <v>50</v>
      </c>
      <c r="C16" t="s">
        <v>136</v>
      </c>
      <c r="D16" t="s">
        <v>292</v>
      </c>
      <c r="E16" t="s">
        <v>170</v>
      </c>
      <c r="F16" t="s">
        <v>354</v>
      </c>
      <c r="G16" s="7" t="str" cm="1">
        <f t="array" aca="1" ref="G16" ca="1">"ST"&amp;TEXT(SUMPRODUCT(1/COUNTIF(INDIRECT("$D$2:$D"&amp;(ROW($D$2)+MATCH(D16,$D$2:$D$148,0)-1)),$D$2:INDIRECT("$D"&amp;(ROW($D$2)+MATCH(D16,$D$2:$D$148,0)-1)))),"0000")</f>
        <v>ST0014</v>
      </c>
      <c r="H16" t="str">
        <f t="shared" si="0"/>
        <v>STATION</v>
      </c>
    </row>
    <row r="17" spans="1:8" ht="14.4" x14ac:dyDescent="0.3">
      <c r="A17" t="s">
        <v>369</v>
      </c>
      <c r="B17" t="s">
        <v>50</v>
      </c>
      <c r="C17" t="s">
        <v>165</v>
      </c>
      <c r="D17" t="s">
        <v>164</v>
      </c>
      <c r="E17" t="s">
        <v>170</v>
      </c>
      <c r="F17" t="s">
        <v>354</v>
      </c>
      <c r="G17" s="7" t="str" cm="1">
        <f t="array" aca="1" ref="G17" ca="1">"ST"&amp;TEXT(SUMPRODUCT(1/COUNTIF(INDIRECT("$D$2:$D"&amp;(ROW($D$2)+MATCH(D17,$D$2:$D$148,0)-1)),$D$2:INDIRECT("$D"&amp;(ROW($D$2)+MATCH(D17,$D$2:$D$148,0)-1)))),"0000")</f>
        <v>ST0015</v>
      </c>
      <c r="H17" t="str">
        <f t="shared" si="0"/>
        <v>STATION</v>
      </c>
    </row>
    <row r="18" spans="1:8" ht="14.4" x14ac:dyDescent="0.3">
      <c r="A18" t="s">
        <v>369</v>
      </c>
      <c r="B18" t="s">
        <v>50</v>
      </c>
      <c r="C18" t="s">
        <v>51</v>
      </c>
      <c r="D18" t="s">
        <v>195</v>
      </c>
      <c r="E18" t="s">
        <v>170</v>
      </c>
      <c r="F18" t="s">
        <v>354</v>
      </c>
      <c r="G18" s="7" t="str" cm="1">
        <f t="array" aca="1" ref="G18" ca="1">"ST"&amp;TEXT(SUMPRODUCT(1/COUNTIF(INDIRECT("$D$2:$D"&amp;(ROW($D$2)+MATCH(D18,$D$2:$D$148,0)-1)),$D$2:INDIRECT("$D"&amp;(ROW($D$2)+MATCH(D18,$D$2:$D$148,0)-1)))),"0000")</f>
        <v>ST0016</v>
      </c>
      <c r="H18" t="str">
        <f t="shared" si="0"/>
        <v>STATION</v>
      </c>
    </row>
    <row r="19" spans="1:8" ht="14.4" x14ac:dyDescent="0.3">
      <c r="A19" t="s">
        <v>370</v>
      </c>
      <c r="B19" t="s">
        <v>196</v>
      </c>
      <c r="C19" t="s">
        <v>197</v>
      </c>
      <c r="D19" t="s">
        <v>198</v>
      </c>
      <c r="E19" t="s">
        <v>169</v>
      </c>
      <c r="F19" t="s">
        <v>359</v>
      </c>
      <c r="G19" s="7" t="str" cm="1">
        <f t="array" aca="1" ref="G19" ca="1">"ST"&amp;TEXT(SUMPRODUCT(1/COUNTIF(INDIRECT("$D$2:$D"&amp;(ROW($D$2)+MATCH(D19,$D$2:$D$148,0)-1)),$D$2:INDIRECT("$D"&amp;(ROW($D$2)+MATCH(D19,$D$2:$D$148,0)-1)))),"0000")</f>
        <v>ST0017</v>
      </c>
      <c r="H19" t="str">
        <f t="shared" si="0"/>
        <v>STATION</v>
      </c>
    </row>
    <row r="20" spans="1:8" ht="14.4" x14ac:dyDescent="0.3">
      <c r="A20" t="s">
        <v>371</v>
      </c>
      <c r="B20" t="s">
        <v>93</v>
      </c>
      <c r="C20" t="s">
        <v>94</v>
      </c>
      <c r="D20" t="s">
        <v>172</v>
      </c>
      <c r="E20" t="s">
        <v>170</v>
      </c>
      <c r="F20" t="s">
        <v>359</v>
      </c>
      <c r="G20" s="7" t="str" cm="1">
        <f t="array" aca="1" ref="G20" ca="1">"ST"&amp;TEXT(SUMPRODUCT(1/COUNTIF(INDIRECT("$D$2:$D"&amp;(ROW($D$2)+MATCH(D20,$D$2:$D$148,0)-1)),$D$2:INDIRECT("$D"&amp;(ROW($D$2)+MATCH(D20,$D$2:$D$148,0)-1)))),"0000")</f>
        <v>ST0018</v>
      </c>
      <c r="H20" t="str">
        <f t="shared" si="0"/>
        <v>STATION</v>
      </c>
    </row>
    <row r="21" spans="1:8" ht="14.4" x14ac:dyDescent="0.3">
      <c r="A21" t="s">
        <v>372</v>
      </c>
      <c r="B21" t="s">
        <v>118</v>
      </c>
      <c r="C21" t="s">
        <v>119</v>
      </c>
      <c r="D21" t="s">
        <v>199</v>
      </c>
      <c r="E21" t="s">
        <v>170</v>
      </c>
      <c r="F21" t="s">
        <v>354</v>
      </c>
      <c r="G21" s="7" t="str" cm="1">
        <f t="array" aca="1" ref="G21" ca="1">"ST"&amp;TEXT(SUMPRODUCT(1/COUNTIF(INDIRECT("$D$2:$D"&amp;(ROW($D$2)+MATCH(D21,$D$2:$D$148,0)-1)),$D$2:INDIRECT("$D"&amp;(ROW($D$2)+MATCH(D21,$D$2:$D$148,0)-1)))),"0000")</f>
        <v>ST0019</v>
      </c>
      <c r="H21" t="str">
        <f t="shared" si="0"/>
        <v>STATION</v>
      </c>
    </row>
    <row r="22" spans="1:8" ht="14.4" x14ac:dyDescent="0.3">
      <c r="A22" t="s">
        <v>373</v>
      </c>
      <c r="B22" t="s">
        <v>200</v>
      </c>
      <c r="C22" t="s">
        <v>201</v>
      </c>
      <c r="D22" t="s">
        <v>202</v>
      </c>
      <c r="E22" t="s">
        <v>170</v>
      </c>
      <c r="F22" t="s">
        <v>356</v>
      </c>
      <c r="G22" s="7" t="str" cm="1">
        <f t="array" aca="1" ref="G22" ca="1">"ST"&amp;TEXT(SUMPRODUCT(1/COUNTIF(INDIRECT("$D$2:$D"&amp;(ROW($D$2)+MATCH(D22,$D$2:$D$148,0)-1)),$D$2:INDIRECT("$D"&amp;(ROW($D$2)+MATCH(D22,$D$2:$D$148,0)-1)))),"0000")</f>
        <v>ST0020</v>
      </c>
      <c r="H22" t="str">
        <f t="shared" si="0"/>
        <v>STATION</v>
      </c>
    </row>
    <row r="23" spans="1:8" ht="14.4" x14ac:dyDescent="0.3">
      <c r="A23" t="s">
        <v>374</v>
      </c>
      <c r="B23" t="s">
        <v>203</v>
      </c>
      <c r="C23" t="s">
        <v>173</v>
      </c>
      <c r="D23" t="s">
        <v>172</v>
      </c>
      <c r="E23" t="s">
        <v>170</v>
      </c>
      <c r="F23" t="s">
        <v>354</v>
      </c>
      <c r="G23" s="7" t="str" cm="1">
        <f t="array" aca="1" ref="G23" ca="1">"ST"&amp;TEXT(SUMPRODUCT(1/COUNTIF(INDIRECT("$D$2:$D"&amp;(ROW($D$2)+MATCH(D23,$D$2:$D$148,0)-1)),$D$2:INDIRECT("$D"&amp;(ROW($D$2)+MATCH(D23,$D$2:$D$148,0)-1)))),"0000")</f>
        <v>ST0018</v>
      </c>
      <c r="H23" t="str">
        <f t="shared" si="0"/>
        <v>STATION</v>
      </c>
    </row>
    <row r="24" spans="1:8" ht="14.4" x14ac:dyDescent="0.3">
      <c r="A24" t="s">
        <v>374</v>
      </c>
      <c r="B24" t="s">
        <v>203</v>
      </c>
      <c r="C24" t="s">
        <v>204</v>
      </c>
      <c r="D24" t="s">
        <v>205</v>
      </c>
      <c r="E24" t="s">
        <v>170</v>
      </c>
      <c r="F24" t="s">
        <v>354</v>
      </c>
      <c r="G24" s="7" t="str" cm="1">
        <f t="array" aca="1" ref="G24" ca="1">"ST"&amp;TEXT(SUMPRODUCT(1/COUNTIF(INDIRECT("$D$2:$D"&amp;(ROW($D$2)+MATCH(D24,$D$2:$D$148,0)-1)),$D$2:INDIRECT("$D"&amp;(ROW($D$2)+MATCH(D24,$D$2:$D$148,0)-1)))),"0000")</f>
        <v>ST0021</v>
      </c>
      <c r="H24" t="str">
        <f t="shared" si="0"/>
        <v>STATION</v>
      </c>
    </row>
    <row r="25" spans="1:8" ht="14.4" x14ac:dyDescent="0.3">
      <c r="A25" t="s">
        <v>375</v>
      </c>
      <c r="B25" t="s">
        <v>206</v>
      </c>
      <c r="C25" t="s">
        <v>207</v>
      </c>
      <c r="D25" t="s">
        <v>198</v>
      </c>
      <c r="E25" t="s">
        <v>169</v>
      </c>
      <c r="F25" t="s">
        <v>354</v>
      </c>
      <c r="G25" s="7" t="str" cm="1">
        <f t="array" aca="1" ref="G25" ca="1">"ST"&amp;TEXT(SUMPRODUCT(1/COUNTIF(INDIRECT("$D$2:$D"&amp;(ROW($D$2)+MATCH(D25,$D$2:$D$148,0)-1)),$D$2:INDIRECT("$D"&amp;(ROW($D$2)+MATCH(D25,$D$2:$D$148,0)-1)))),"0000")</f>
        <v>ST0017</v>
      </c>
      <c r="H25" t="str">
        <f t="shared" si="0"/>
        <v>STATION</v>
      </c>
    </row>
    <row r="26" spans="1:8" ht="14.4" x14ac:dyDescent="0.3">
      <c r="A26" t="s">
        <v>376</v>
      </c>
      <c r="B26" t="s">
        <v>106</v>
      </c>
      <c r="C26" t="s">
        <v>107</v>
      </c>
      <c r="D26" t="s">
        <v>208</v>
      </c>
      <c r="E26" t="s">
        <v>170</v>
      </c>
      <c r="F26" t="s">
        <v>354</v>
      </c>
      <c r="G26" s="7" t="str" cm="1">
        <f t="array" aca="1" ref="G26" ca="1">"ST"&amp;TEXT(SUMPRODUCT(1/COUNTIF(INDIRECT("$D$2:$D"&amp;(ROW($D$2)+MATCH(D26,$D$2:$D$148,0)-1)),$D$2:INDIRECT("$D"&amp;(ROW($D$2)+MATCH(D26,$D$2:$D$148,0)-1)))),"0000")</f>
        <v>ST0022</v>
      </c>
      <c r="H26" t="str">
        <f t="shared" si="0"/>
        <v>STATION</v>
      </c>
    </row>
    <row r="27" spans="1:8" ht="14.4" x14ac:dyDescent="0.3">
      <c r="A27" t="s">
        <v>377</v>
      </c>
      <c r="B27" t="s">
        <v>209</v>
      </c>
      <c r="C27" t="s">
        <v>210</v>
      </c>
      <c r="D27" t="s">
        <v>211</v>
      </c>
      <c r="E27" t="s">
        <v>169</v>
      </c>
      <c r="F27" t="s">
        <v>359</v>
      </c>
      <c r="G27" s="7" t="str" cm="1">
        <f t="array" aca="1" ref="G27" ca="1">"ST"&amp;TEXT(SUMPRODUCT(1/COUNTIF(INDIRECT("$D$2:$D"&amp;(ROW($D$2)+MATCH(D27,$D$2:$D$148,0)-1)),$D$2:INDIRECT("$D"&amp;(ROW($D$2)+MATCH(D27,$D$2:$D$148,0)-1)))),"0000")</f>
        <v>ST0023</v>
      </c>
      <c r="H27" t="str">
        <f t="shared" si="0"/>
        <v>STATION</v>
      </c>
    </row>
    <row r="28" spans="1:8" ht="14.4" x14ac:dyDescent="0.3">
      <c r="A28" t="s">
        <v>378</v>
      </c>
      <c r="B28" t="s">
        <v>212</v>
      </c>
      <c r="C28" t="s">
        <v>213</v>
      </c>
      <c r="D28" t="s">
        <v>214</v>
      </c>
      <c r="E28" t="s">
        <v>169</v>
      </c>
      <c r="F28" t="s">
        <v>359</v>
      </c>
      <c r="G28" s="7" t="str" cm="1">
        <f t="array" aca="1" ref="G28" ca="1">"ST"&amp;TEXT(SUMPRODUCT(1/COUNTIF(INDIRECT("$D$2:$D"&amp;(ROW($D$2)+MATCH(D28,$D$2:$D$148,0)-1)),$D$2:INDIRECT("$D"&amp;(ROW($D$2)+MATCH(D28,$D$2:$D$148,0)-1)))),"0000")</f>
        <v>ST0024</v>
      </c>
      <c r="H28" t="str">
        <f t="shared" si="0"/>
        <v>STATION</v>
      </c>
    </row>
    <row r="29" spans="1:8" ht="14.4" x14ac:dyDescent="0.3">
      <c r="A29" t="s">
        <v>379</v>
      </c>
      <c r="B29" t="s">
        <v>215</v>
      </c>
      <c r="C29" t="s">
        <v>216</v>
      </c>
      <c r="D29" t="s">
        <v>164</v>
      </c>
      <c r="E29" t="s">
        <v>170</v>
      </c>
      <c r="F29" t="s">
        <v>359</v>
      </c>
      <c r="G29" s="7" t="str" cm="1">
        <f t="array" aca="1" ref="G29" ca="1">"ST"&amp;TEXT(SUMPRODUCT(1/COUNTIF(INDIRECT("$D$2:$D"&amp;(ROW($D$2)+MATCH(D29,$D$2:$D$148,0)-1)),$D$2:INDIRECT("$D"&amp;(ROW($D$2)+MATCH(D29,$D$2:$D$148,0)-1)))),"0000")</f>
        <v>ST0015</v>
      </c>
      <c r="H29" t="str">
        <f t="shared" si="0"/>
        <v>STATION</v>
      </c>
    </row>
    <row r="30" spans="1:8" ht="14.4" x14ac:dyDescent="0.3">
      <c r="A30" t="s">
        <v>380</v>
      </c>
      <c r="B30" t="s">
        <v>217</v>
      </c>
      <c r="C30" t="s">
        <v>154</v>
      </c>
      <c r="D30" t="s">
        <v>153</v>
      </c>
      <c r="E30" t="s">
        <v>169</v>
      </c>
      <c r="F30" t="s">
        <v>354</v>
      </c>
      <c r="G30" s="7" t="str" cm="1">
        <f t="array" aca="1" ref="G30" ca="1">"ST"&amp;TEXT(SUMPRODUCT(1/COUNTIF(INDIRECT("$D$2:$D"&amp;(ROW($D$2)+MATCH(D30,$D$2:$D$148,0)-1)),$D$2:INDIRECT("$D"&amp;(ROW($D$2)+MATCH(D30,$D$2:$D$148,0)-1)))),"0000")</f>
        <v>ST0025</v>
      </c>
      <c r="H30" t="str">
        <f t="shared" si="0"/>
        <v>STATION</v>
      </c>
    </row>
    <row r="31" spans="1:8" ht="14.4" x14ac:dyDescent="0.3">
      <c r="A31" t="s">
        <v>381</v>
      </c>
      <c r="B31" t="s">
        <v>218</v>
      </c>
      <c r="C31" t="s">
        <v>219</v>
      </c>
      <c r="D31" t="s">
        <v>220</v>
      </c>
      <c r="E31" t="s">
        <v>170</v>
      </c>
      <c r="F31" t="s">
        <v>359</v>
      </c>
      <c r="G31" s="7" t="str" cm="1">
        <f t="array" aca="1" ref="G31" ca="1">"ST"&amp;TEXT(SUMPRODUCT(1/COUNTIF(INDIRECT("$D$2:$D"&amp;(ROW($D$2)+MATCH(D31,$D$2:$D$148,0)-1)),$D$2:INDIRECT("$D"&amp;(ROW($D$2)+MATCH(D31,$D$2:$D$148,0)-1)))),"0000")</f>
        <v>ST0026</v>
      </c>
      <c r="H31" t="str">
        <f t="shared" si="0"/>
        <v>STATION</v>
      </c>
    </row>
    <row r="32" spans="1:8" ht="14.4" x14ac:dyDescent="0.3">
      <c r="A32" t="s">
        <v>382</v>
      </c>
      <c r="B32" t="s">
        <v>221</v>
      </c>
      <c r="C32" t="s">
        <v>222</v>
      </c>
      <c r="D32" t="s">
        <v>223</v>
      </c>
      <c r="E32" t="s">
        <v>170</v>
      </c>
      <c r="F32" t="s">
        <v>359</v>
      </c>
      <c r="G32" s="7" t="str" cm="1">
        <f t="array" aca="1" ref="G32" ca="1">"ST"&amp;TEXT(SUMPRODUCT(1/COUNTIF(INDIRECT("$D$2:$D"&amp;(ROW($D$2)+MATCH(D32,$D$2:$D$148,0)-1)),$D$2:INDIRECT("$D"&amp;(ROW($D$2)+MATCH(D32,$D$2:$D$148,0)-1)))),"0000")</f>
        <v>ST0027</v>
      </c>
      <c r="H32" t="str">
        <f t="shared" si="0"/>
        <v>STATION</v>
      </c>
    </row>
    <row r="33" spans="1:8" ht="14.4" x14ac:dyDescent="0.3">
      <c r="A33" t="s">
        <v>383</v>
      </c>
      <c r="B33" t="s">
        <v>224</v>
      </c>
      <c r="C33" t="s">
        <v>225</v>
      </c>
      <c r="D33" t="s">
        <v>300</v>
      </c>
      <c r="E33" t="s">
        <v>170</v>
      </c>
      <c r="F33" t="s">
        <v>359</v>
      </c>
      <c r="G33" s="7" t="str" cm="1">
        <f t="array" aca="1" ref="G33" ca="1">"ST"&amp;TEXT(SUMPRODUCT(1/COUNTIF(INDIRECT("$D$2:$D"&amp;(ROW($D$2)+MATCH(D33,$D$2:$D$148,0)-1)),$D$2:INDIRECT("$D"&amp;(ROW($D$2)+MATCH(D33,$D$2:$D$148,0)-1)))),"0000")</f>
        <v>ST0010</v>
      </c>
      <c r="H33" t="str">
        <f t="shared" si="0"/>
        <v>STATION</v>
      </c>
    </row>
    <row r="34" spans="1:8" ht="14.4" x14ac:dyDescent="0.3">
      <c r="A34" t="s">
        <v>384</v>
      </c>
      <c r="B34" t="s">
        <v>226</v>
      </c>
      <c r="C34" t="s">
        <v>227</v>
      </c>
      <c r="D34" t="s">
        <v>202</v>
      </c>
      <c r="E34" t="s">
        <v>170</v>
      </c>
      <c r="F34" t="s">
        <v>356</v>
      </c>
      <c r="G34" s="7" t="str" cm="1">
        <f t="array" aca="1" ref="G34" ca="1">"ST"&amp;TEXT(SUMPRODUCT(1/COUNTIF(INDIRECT("$D$2:$D"&amp;(ROW($D$2)+MATCH(D34,$D$2:$D$148,0)-1)),$D$2:INDIRECT("$D"&amp;(ROW($D$2)+MATCH(D34,$D$2:$D$148,0)-1)))),"0000")</f>
        <v>ST0020</v>
      </c>
      <c r="H34" t="str">
        <f t="shared" si="0"/>
        <v>STATION</v>
      </c>
    </row>
    <row r="35" spans="1:8" ht="14.4" x14ac:dyDescent="0.3">
      <c r="A35" t="s">
        <v>385</v>
      </c>
      <c r="B35" t="s">
        <v>34</v>
      </c>
      <c r="C35" t="s">
        <v>35</v>
      </c>
      <c r="D35" t="s">
        <v>228</v>
      </c>
      <c r="E35" t="s">
        <v>169</v>
      </c>
      <c r="F35" t="s">
        <v>354</v>
      </c>
      <c r="G35" s="7" t="str" cm="1">
        <f t="array" aca="1" ref="G35" ca="1">"ST"&amp;TEXT(SUMPRODUCT(1/COUNTIF(INDIRECT("$D$2:$D"&amp;(ROW($D$2)+MATCH(D35,$D$2:$D$148,0)-1)),$D$2:INDIRECT("$D"&amp;(ROW($D$2)+MATCH(D35,$D$2:$D$148,0)-1)))),"0000")</f>
        <v>ST0028</v>
      </c>
      <c r="H35" t="str">
        <f t="shared" si="0"/>
        <v>STATION</v>
      </c>
    </row>
    <row r="36" spans="1:8" ht="14.4" x14ac:dyDescent="0.3">
      <c r="A36" t="s">
        <v>386</v>
      </c>
      <c r="B36" t="s">
        <v>71</v>
      </c>
      <c r="C36" t="s">
        <v>72</v>
      </c>
      <c r="D36" t="s">
        <v>220</v>
      </c>
      <c r="E36" t="s">
        <v>170</v>
      </c>
      <c r="F36" t="s">
        <v>354</v>
      </c>
      <c r="G36" s="7" t="str" cm="1">
        <f t="array" aca="1" ref="G36" ca="1">"ST"&amp;TEXT(SUMPRODUCT(1/COUNTIF(INDIRECT("$D$2:$D"&amp;(ROW($D$2)+MATCH(D36,$D$2:$D$148,0)-1)),$D$2:INDIRECT("$D"&amp;(ROW($D$2)+MATCH(D36,$D$2:$D$148,0)-1)))),"0000")</f>
        <v>ST0026</v>
      </c>
      <c r="H36" t="str">
        <f t="shared" si="0"/>
        <v>STATION</v>
      </c>
    </row>
    <row r="37" spans="1:8" ht="14.4" x14ac:dyDescent="0.3">
      <c r="A37" t="s">
        <v>387</v>
      </c>
      <c r="B37" t="s">
        <v>26</v>
      </c>
      <c r="C37" t="s">
        <v>27</v>
      </c>
      <c r="D37" t="s">
        <v>229</v>
      </c>
      <c r="E37" t="s">
        <v>170</v>
      </c>
      <c r="F37" t="s">
        <v>354</v>
      </c>
      <c r="G37" s="7" t="str" cm="1">
        <f t="array" aca="1" ref="G37" ca="1">"ST"&amp;TEXT(SUMPRODUCT(1/COUNTIF(INDIRECT("$D$2:$D"&amp;(ROW($D$2)+MATCH(D37,$D$2:$D$148,0)-1)),$D$2:INDIRECT("$D"&amp;(ROW($D$2)+MATCH(D37,$D$2:$D$148,0)-1)))),"0000")</f>
        <v>ST0029</v>
      </c>
      <c r="H37" t="str">
        <f t="shared" si="0"/>
        <v>STATION</v>
      </c>
    </row>
    <row r="38" spans="1:8" ht="14.4" x14ac:dyDescent="0.3">
      <c r="A38" t="s">
        <v>388</v>
      </c>
      <c r="B38" t="s">
        <v>230</v>
      </c>
      <c r="C38" t="s">
        <v>231</v>
      </c>
      <c r="D38" t="s">
        <v>338</v>
      </c>
      <c r="E38" t="s">
        <v>169</v>
      </c>
      <c r="F38" t="s">
        <v>359</v>
      </c>
      <c r="G38" s="7" t="str" cm="1">
        <f t="array" aca="1" ref="G38" ca="1">"ST"&amp;TEXT(SUMPRODUCT(1/COUNTIF(INDIRECT("$D$2:$D"&amp;(ROW($D$2)+MATCH(D38,$D$2:$D$148,0)-1)),$D$2:INDIRECT("$D"&amp;(ROW($D$2)+MATCH(D38,$D$2:$D$148,0)-1)))),"0000")</f>
        <v>ST0030</v>
      </c>
      <c r="H38" t="str">
        <f t="shared" si="0"/>
        <v>STATION</v>
      </c>
    </row>
    <row r="39" spans="1:8" ht="14.4" x14ac:dyDescent="0.3">
      <c r="A39" t="s">
        <v>389</v>
      </c>
      <c r="B39" t="s">
        <v>102</v>
      </c>
      <c r="C39" t="s">
        <v>103</v>
      </c>
      <c r="D39" t="s">
        <v>232</v>
      </c>
      <c r="E39" t="s">
        <v>170</v>
      </c>
      <c r="F39" t="s">
        <v>354</v>
      </c>
      <c r="G39" s="7" t="str" cm="1">
        <f t="array" aca="1" ref="G39" ca="1">"ST"&amp;TEXT(SUMPRODUCT(1/COUNTIF(INDIRECT("$D$2:$D"&amp;(ROW($D$2)+MATCH(D39,$D$2:$D$148,0)-1)),$D$2:INDIRECT("$D"&amp;(ROW($D$2)+MATCH(D39,$D$2:$D$148,0)-1)))),"0000")</f>
        <v>ST0031</v>
      </c>
      <c r="H39" t="str">
        <f t="shared" si="0"/>
        <v>STATION</v>
      </c>
    </row>
    <row r="40" spans="1:8" ht="14.4" x14ac:dyDescent="0.3">
      <c r="A40" t="s">
        <v>390</v>
      </c>
      <c r="B40" t="s">
        <v>56</v>
      </c>
      <c r="C40" t="s">
        <v>57</v>
      </c>
      <c r="D40" t="s">
        <v>233</v>
      </c>
      <c r="E40" t="s">
        <v>169</v>
      </c>
      <c r="F40" t="s">
        <v>354</v>
      </c>
      <c r="G40" s="7" t="str" cm="1">
        <f t="array" aca="1" ref="G40" ca="1">"ST"&amp;TEXT(SUMPRODUCT(1/COUNTIF(INDIRECT("$D$2:$D"&amp;(ROW($D$2)+MATCH(D40,$D$2:$D$148,0)-1)),$D$2:INDIRECT("$D"&amp;(ROW($D$2)+MATCH(D40,$D$2:$D$148,0)-1)))),"0000")</f>
        <v>ST0032</v>
      </c>
      <c r="H40" t="str">
        <f t="shared" si="0"/>
        <v>STATION</v>
      </c>
    </row>
    <row r="41" spans="1:8" ht="14.4" x14ac:dyDescent="0.3">
      <c r="A41" t="s">
        <v>391</v>
      </c>
      <c r="B41" t="s">
        <v>234</v>
      </c>
      <c r="C41" t="s">
        <v>235</v>
      </c>
      <c r="D41" t="s">
        <v>236</v>
      </c>
      <c r="E41" t="s">
        <v>170</v>
      </c>
      <c r="F41" t="s">
        <v>359</v>
      </c>
      <c r="G41" s="7" t="str" cm="1">
        <f t="array" aca="1" ref="G41" ca="1">"ST"&amp;TEXT(SUMPRODUCT(1/COUNTIF(INDIRECT("$D$2:$D"&amp;(ROW($D$2)+MATCH(D41,$D$2:$D$148,0)-1)),$D$2:INDIRECT("$D"&amp;(ROW($D$2)+MATCH(D41,$D$2:$D$148,0)-1)))),"0000")</f>
        <v>ST0033</v>
      </c>
      <c r="H41" t="str">
        <f t="shared" si="0"/>
        <v>STATION</v>
      </c>
    </row>
    <row r="42" spans="1:8" ht="14.4" x14ac:dyDescent="0.3">
      <c r="A42" t="s">
        <v>392</v>
      </c>
      <c r="B42" t="s">
        <v>128</v>
      </c>
      <c r="C42" t="s">
        <v>156</v>
      </c>
      <c r="D42" t="s">
        <v>155</v>
      </c>
      <c r="E42" t="s">
        <v>170</v>
      </c>
      <c r="F42" t="s">
        <v>354</v>
      </c>
      <c r="G42" s="7" t="str" cm="1">
        <f t="array" aca="1" ref="G42" ca="1">"ST"&amp;TEXT(SUMPRODUCT(1/COUNTIF(INDIRECT("$D$2:$D"&amp;(ROW($D$2)+MATCH(D42,$D$2:$D$148,0)-1)),$D$2:INDIRECT("$D"&amp;(ROW($D$2)+MATCH(D42,$D$2:$D$148,0)-1)))),"0000")</f>
        <v>ST0034</v>
      </c>
      <c r="H42" t="str">
        <f t="shared" si="0"/>
        <v>STATION</v>
      </c>
    </row>
    <row r="43" spans="1:8" ht="14.4" x14ac:dyDescent="0.3">
      <c r="A43" t="s">
        <v>392</v>
      </c>
      <c r="B43" t="s">
        <v>128</v>
      </c>
      <c r="C43" t="s">
        <v>157</v>
      </c>
      <c r="D43" t="s">
        <v>237</v>
      </c>
      <c r="E43" t="s">
        <v>170</v>
      </c>
      <c r="F43" t="s">
        <v>354</v>
      </c>
      <c r="G43" s="7" t="str" cm="1">
        <f t="array" aca="1" ref="G43" ca="1">"ST"&amp;TEXT(SUMPRODUCT(1/COUNTIF(INDIRECT("$D$2:$D"&amp;(ROW($D$2)+MATCH(D43,$D$2:$D$148,0)-1)),$D$2:INDIRECT("$D"&amp;(ROW($D$2)+MATCH(D43,$D$2:$D$148,0)-1)))),"0000")</f>
        <v>ST0035</v>
      </c>
      <c r="H43" t="str">
        <f t="shared" si="0"/>
        <v>STATION</v>
      </c>
    </row>
    <row r="44" spans="1:8" ht="14.4" x14ac:dyDescent="0.3">
      <c r="A44" t="s">
        <v>392</v>
      </c>
      <c r="B44" t="s">
        <v>128</v>
      </c>
      <c r="C44" t="s">
        <v>129</v>
      </c>
      <c r="D44" t="s">
        <v>238</v>
      </c>
      <c r="E44" t="s">
        <v>170</v>
      </c>
      <c r="F44" t="s">
        <v>354</v>
      </c>
      <c r="G44" s="7" t="str" cm="1">
        <f t="array" aca="1" ref="G44" ca="1">"ST"&amp;TEXT(SUMPRODUCT(1/COUNTIF(INDIRECT("$D$2:$D"&amp;(ROW($D$2)+MATCH(D44,$D$2:$D$148,0)-1)),$D$2:INDIRECT("$D"&amp;(ROW($D$2)+MATCH(D44,$D$2:$D$148,0)-1)))),"0000")</f>
        <v>ST0036</v>
      </c>
      <c r="H44" t="str">
        <f t="shared" si="0"/>
        <v>STATION</v>
      </c>
    </row>
    <row r="45" spans="1:8" ht="14.4" x14ac:dyDescent="0.3">
      <c r="A45" t="s">
        <v>393</v>
      </c>
      <c r="B45" t="s">
        <v>7</v>
      </c>
      <c r="C45" t="s">
        <v>8</v>
      </c>
      <c r="D45" t="s">
        <v>239</v>
      </c>
      <c r="E45" t="s">
        <v>169</v>
      </c>
      <c r="F45" t="s">
        <v>354</v>
      </c>
      <c r="G45" s="7" t="str" cm="1">
        <f t="array" aca="1" ref="G45" ca="1">"ST"&amp;TEXT(SUMPRODUCT(1/COUNTIF(INDIRECT("$D$2:$D"&amp;(ROW($D$2)+MATCH(D45,$D$2:$D$148,0)-1)),$D$2:INDIRECT("$D"&amp;(ROW($D$2)+MATCH(D45,$D$2:$D$148,0)-1)))),"0000")</f>
        <v>ST0037</v>
      </c>
      <c r="H45" t="str">
        <f t="shared" si="0"/>
        <v>STATION</v>
      </c>
    </row>
    <row r="46" spans="1:8" ht="14.4" x14ac:dyDescent="0.3">
      <c r="A46" t="s">
        <v>393</v>
      </c>
      <c r="B46" t="s">
        <v>7</v>
      </c>
      <c r="C46" t="s">
        <v>9</v>
      </c>
      <c r="D46" t="s">
        <v>240</v>
      </c>
      <c r="E46" t="s">
        <v>170</v>
      </c>
      <c r="F46" t="s">
        <v>354</v>
      </c>
      <c r="G46" s="7" t="str" cm="1">
        <f t="array" aca="1" ref="G46" ca="1">"ST"&amp;TEXT(SUMPRODUCT(1/COUNTIF(INDIRECT("$D$2:$D"&amp;(ROW($D$2)+MATCH(D46,$D$2:$D$148,0)-1)),$D$2:INDIRECT("$D"&amp;(ROW($D$2)+MATCH(D46,$D$2:$D$148,0)-1)))),"0000")</f>
        <v>ST0038</v>
      </c>
      <c r="H46" t="str">
        <f t="shared" si="0"/>
        <v>STATION</v>
      </c>
    </row>
    <row r="47" spans="1:8" ht="14.4" x14ac:dyDescent="0.3">
      <c r="A47" t="s">
        <v>394</v>
      </c>
      <c r="B47" t="s">
        <v>241</v>
      </c>
      <c r="C47" t="s">
        <v>242</v>
      </c>
      <c r="D47" t="s">
        <v>243</v>
      </c>
      <c r="E47" t="s">
        <v>170</v>
      </c>
      <c r="F47" t="s">
        <v>359</v>
      </c>
      <c r="G47" s="7" t="str" cm="1">
        <f t="array" aca="1" ref="G47" ca="1">"ST"&amp;TEXT(SUMPRODUCT(1/COUNTIF(INDIRECT("$D$2:$D"&amp;(ROW($D$2)+MATCH(D47,$D$2:$D$148,0)-1)),$D$2:INDIRECT("$D"&amp;(ROW($D$2)+MATCH(D47,$D$2:$D$148,0)-1)))),"0000")</f>
        <v>ST0039</v>
      </c>
      <c r="H47" t="str">
        <f t="shared" si="0"/>
        <v>STATION</v>
      </c>
    </row>
    <row r="48" spans="1:8" ht="14.4" x14ac:dyDescent="0.3">
      <c r="A48" t="s">
        <v>395</v>
      </c>
      <c r="B48" t="s">
        <v>244</v>
      </c>
      <c r="C48" t="s">
        <v>245</v>
      </c>
      <c r="D48" t="s">
        <v>236</v>
      </c>
      <c r="E48" t="s">
        <v>169</v>
      </c>
      <c r="F48" t="s">
        <v>359</v>
      </c>
      <c r="G48" s="7" t="str" cm="1">
        <f t="array" aca="1" ref="G48" ca="1">"ST"&amp;TEXT(SUMPRODUCT(1/COUNTIF(INDIRECT("$D$2:$D"&amp;(ROW($D$2)+MATCH(D48,$D$2:$D$148,0)-1)),$D$2:INDIRECT("$D"&amp;(ROW($D$2)+MATCH(D48,$D$2:$D$148,0)-1)))),"0000")</f>
        <v>ST0033</v>
      </c>
      <c r="H48" t="str">
        <f t="shared" si="0"/>
        <v>STATION</v>
      </c>
    </row>
    <row r="49" spans="1:8" ht="14.4" x14ac:dyDescent="0.3">
      <c r="A49" t="s">
        <v>396</v>
      </c>
      <c r="B49" t="s">
        <v>246</v>
      </c>
      <c r="C49" t="s">
        <v>247</v>
      </c>
      <c r="D49" t="s">
        <v>325</v>
      </c>
      <c r="E49" t="s">
        <v>170</v>
      </c>
      <c r="F49" t="s">
        <v>359</v>
      </c>
      <c r="G49" s="7" t="str" cm="1">
        <f t="array" aca="1" ref="G49" ca="1">"ST"&amp;TEXT(SUMPRODUCT(1/COUNTIF(INDIRECT("$D$2:$D"&amp;(ROW($D$2)+MATCH(D49,$D$2:$D$148,0)-1)),$D$2:INDIRECT("$D"&amp;(ROW($D$2)+MATCH(D49,$D$2:$D$148,0)-1)))),"0000")</f>
        <v>ST0040</v>
      </c>
      <c r="H49" t="str">
        <f t="shared" si="0"/>
        <v>STATION</v>
      </c>
    </row>
    <row r="50" spans="1:8" ht="14.4" x14ac:dyDescent="0.3">
      <c r="A50" t="s">
        <v>397</v>
      </c>
      <c r="B50" t="s">
        <v>81</v>
      </c>
      <c r="C50" t="s">
        <v>82</v>
      </c>
      <c r="D50" t="s">
        <v>248</v>
      </c>
      <c r="E50" t="s">
        <v>169</v>
      </c>
      <c r="F50" t="s">
        <v>359</v>
      </c>
      <c r="G50" s="7" t="str" cm="1">
        <f t="array" aca="1" ref="G50" ca="1">"ST"&amp;TEXT(SUMPRODUCT(1/COUNTIF(INDIRECT("$D$2:$D"&amp;(ROW($D$2)+MATCH(D50,$D$2:$D$148,0)-1)),$D$2:INDIRECT("$D"&amp;(ROW($D$2)+MATCH(D50,$D$2:$D$148,0)-1)))),"0000")</f>
        <v>ST0041</v>
      </c>
      <c r="H50" t="str">
        <f t="shared" si="0"/>
        <v>STATION</v>
      </c>
    </row>
    <row r="51" spans="1:8" ht="14.4" x14ac:dyDescent="0.3">
      <c r="A51" t="s">
        <v>398</v>
      </c>
      <c r="B51" t="s">
        <v>90</v>
      </c>
      <c r="C51" t="s">
        <v>249</v>
      </c>
      <c r="D51" t="s">
        <v>250</v>
      </c>
      <c r="E51" t="s">
        <v>170</v>
      </c>
      <c r="F51" t="s">
        <v>359</v>
      </c>
      <c r="G51" s="7" t="str" cm="1">
        <f t="array" aca="1" ref="G51" ca="1">"ST"&amp;TEXT(SUMPRODUCT(1/COUNTIF(INDIRECT("$D$2:$D"&amp;(ROW($D$2)+MATCH(D51,$D$2:$D$148,0)-1)),$D$2:INDIRECT("$D"&amp;(ROW($D$2)+MATCH(D51,$D$2:$D$148,0)-1)))),"0000")</f>
        <v>ST0042</v>
      </c>
      <c r="H51" t="str">
        <f t="shared" si="0"/>
        <v>STATION</v>
      </c>
    </row>
    <row r="52" spans="1:8" ht="14.4" x14ac:dyDescent="0.3">
      <c r="A52" t="s">
        <v>399</v>
      </c>
      <c r="B52" t="s">
        <v>21</v>
      </c>
      <c r="C52" t="s">
        <v>22</v>
      </c>
      <c r="D52" t="s">
        <v>480</v>
      </c>
      <c r="E52" t="s">
        <v>170</v>
      </c>
      <c r="F52" t="s">
        <v>354</v>
      </c>
      <c r="G52" s="7" t="str" cm="1">
        <f t="array" aca="1" ref="G52" ca="1">"ST"&amp;TEXT(SUMPRODUCT(1/COUNTIF(INDIRECT("$D$2:$D"&amp;(ROW($D$2)+MATCH(D52,$D$2:$D$148,0)-1)),$D$2:INDIRECT("$D"&amp;(ROW($D$2)+MATCH(D52,$D$2:$D$148,0)-1)))),"0000")</f>
        <v>ST0043</v>
      </c>
      <c r="H52" t="str">
        <f t="shared" si="0"/>
        <v>STATION</v>
      </c>
    </row>
    <row r="53" spans="1:8" ht="14.4" x14ac:dyDescent="0.3">
      <c r="A53" t="s">
        <v>399</v>
      </c>
      <c r="B53" t="s">
        <v>21</v>
      </c>
      <c r="C53" t="s">
        <v>23</v>
      </c>
      <c r="D53" t="s">
        <v>251</v>
      </c>
      <c r="E53" t="s">
        <v>169</v>
      </c>
      <c r="F53" t="s">
        <v>354</v>
      </c>
      <c r="G53" s="7" t="str" cm="1">
        <f t="array" aca="1" ref="G53" ca="1">"ST"&amp;TEXT(SUMPRODUCT(1/COUNTIF(INDIRECT("$D$2:$D"&amp;(ROW($D$2)+MATCH(D53,$D$2:$D$148,0)-1)),$D$2:INDIRECT("$D"&amp;(ROW($D$2)+MATCH(D53,$D$2:$D$148,0)-1)))),"0000")</f>
        <v>ST0044</v>
      </c>
      <c r="H53" t="str">
        <f t="shared" si="0"/>
        <v>STATION</v>
      </c>
    </row>
    <row r="54" spans="1:8" ht="14.4" x14ac:dyDescent="0.3">
      <c r="A54" t="s">
        <v>400</v>
      </c>
      <c r="B54" t="s">
        <v>252</v>
      </c>
      <c r="C54" t="s">
        <v>253</v>
      </c>
      <c r="D54" t="s">
        <v>331</v>
      </c>
      <c r="E54" t="s">
        <v>170</v>
      </c>
      <c r="F54" t="s">
        <v>359</v>
      </c>
      <c r="G54" s="7" t="str" cm="1">
        <f t="array" aca="1" ref="G54" ca="1">"ST"&amp;TEXT(SUMPRODUCT(1/COUNTIF(INDIRECT("$D$2:$D"&amp;(ROW($D$2)+MATCH(D54,$D$2:$D$148,0)-1)),$D$2:INDIRECT("$D"&amp;(ROW($D$2)+MATCH(D54,$D$2:$D$148,0)-1)))),"0000")</f>
        <v>ST0045</v>
      </c>
      <c r="H54" t="str">
        <f t="shared" si="0"/>
        <v>STATION</v>
      </c>
    </row>
    <row r="55" spans="1:8" ht="14.4" x14ac:dyDescent="0.3">
      <c r="A55" t="s">
        <v>401</v>
      </c>
      <c r="B55" t="s">
        <v>254</v>
      </c>
      <c r="C55" t="s">
        <v>255</v>
      </c>
      <c r="D55" t="s">
        <v>331</v>
      </c>
      <c r="E55" t="s">
        <v>170</v>
      </c>
      <c r="F55" t="s">
        <v>359</v>
      </c>
      <c r="G55" s="7" t="str" cm="1">
        <f t="array" aca="1" ref="G55" ca="1">"ST"&amp;TEXT(SUMPRODUCT(1/COUNTIF(INDIRECT("$D$2:$D"&amp;(ROW($D$2)+MATCH(D55,$D$2:$D$148,0)-1)),$D$2:INDIRECT("$D"&amp;(ROW($D$2)+MATCH(D55,$D$2:$D$148,0)-1)))),"0000")</f>
        <v>ST0045</v>
      </c>
      <c r="H55" t="str">
        <f t="shared" si="0"/>
        <v>STATION</v>
      </c>
    </row>
    <row r="56" spans="1:8" ht="14.4" x14ac:dyDescent="0.3">
      <c r="A56" t="s">
        <v>402</v>
      </c>
      <c r="B56" t="s">
        <v>40</v>
      </c>
      <c r="C56" t="s">
        <v>48</v>
      </c>
      <c r="D56" t="s">
        <v>256</v>
      </c>
      <c r="E56" t="s">
        <v>170</v>
      </c>
      <c r="F56" t="s">
        <v>354</v>
      </c>
      <c r="G56" s="7" t="str" cm="1">
        <f t="array" aca="1" ref="G56" ca="1">"ST"&amp;TEXT(SUMPRODUCT(1/COUNTIF(INDIRECT("$D$2:$D"&amp;(ROW($D$2)+MATCH(D56,$D$2:$D$148,0)-1)),$D$2:INDIRECT("$D"&amp;(ROW($D$2)+MATCH(D56,$D$2:$D$148,0)-1)))),"0000")</f>
        <v>ST0046</v>
      </c>
      <c r="H56" t="str">
        <f t="shared" si="0"/>
        <v>STATION</v>
      </c>
    </row>
    <row r="57" spans="1:8" ht="14.4" x14ac:dyDescent="0.3">
      <c r="A57" t="s">
        <v>402</v>
      </c>
      <c r="B57" t="s">
        <v>40</v>
      </c>
      <c r="C57" t="s">
        <v>41</v>
      </c>
      <c r="D57" t="s">
        <v>214</v>
      </c>
      <c r="E57" t="s">
        <v>170</v>
      </c>
      <c r="F57" t="s">
        <v>354</v>
      </c>
      <c r="G57" s="7" t="str" cm="1">
        <f t="array" aca="1" ref="G57" ca="1">"ST"&amp;TEXT(SUMPRODUCT(1/COUNTIF(INDIRECT("$D$2:$D"&amp;(ROW($D$2)+MATCH(D57,$D$2:$D$148,0)-1)),$D$2:INDIRECT("$D"&amp;(ROW($D$2)+MATCH(D57,$D$2:$D$148,0)-1)))),"0000")</f>
        <v>ST0024</v>
      </c>
      <c r="H57" t="str">
        <f t="shared" si="0"/>
        <v>STATION</v>
      </c>
    </row>
    <row r="58" spans="1:8" ht="14.4" x14ac:dyDescent="0.3">
      <c r="A58" t="s">
        <v>402</v>
      </c>
      <c r="B58" t="s">
        <v>40</v>
      </c>
      <c r="C58" t="s">
        <v>49</v>
      </c>
      <c r="D58" t="s">
        <v>257</v>
      </c>
      <c r="E58" t="s">
        <v>170</v>
      </c>
      <c r="F58" t="s">
        <v>354</v>
      </c>
      <c r="G58" s="7" t="str" cm="1">
        <f t="array" aca="1" ref="G58" ca="1">"ST"&amp;TEXT(SUMPRODUCT(1/COUNTIF(INDIRECT("$D$2:$D"&amp;(ROW($D$2)+MATCH(D58,$D$2:$D$148,0)-1)),$D$2:INDIRECT("$D"&amp;(ROW($D$2)+MATCH(D58,$D$2:$D$148,0)-1)))),"0000")</f>
        <v>ST0047</v>
      </c>
      <c r="H58" t="str">
        <f t="shared" si="0"/>
        <v>STATION</v>
      </c>
    </row>
    <row r="59" spans="1:8" ht="14.4" x14ac:dyDescent="0.3">
      <c r="A59" t="s">
        <v>402</v>
      </c>
      <c r="B59" t="s">
        <v>40</v>
      </c>
      <c r="C59" t="s">
        <v>144</v>
      </c>
      <c r="D59" t="s">
        <v>258</v>
      </c>
      <c r="E59" t="s">
        <v>170</v>
      </c>
      <c r="F59" t="s">
        <v>354</v>
      </c>
      <c r="G59" s="7" t="str" cm="1">
        <f t="array" aca="1" ref="G59" ca="1">"ST"&amp;TEXT(SUMPRODUCT(1/COUNTIF(INDIRECT("$D$2:$D"&amp;(ROW($D$2)+MATCH(D59,$D$2:$D$148,0)-1)),$D$2:INDIRECT("$D"&amp;(ROW($D$2)+MATCH(D59,$D$2:$D$148,0)-1)))),"0000")</f>
        <v>ST0048</v>
      </c>
      <c r="H59" t="str">
        <f t="shared" si="0"/>
        <v>STATION</v>
      </c>
    </row>
    <row r="60" spans="1:8" ht="14.4" x14ac:dyDescent="0.3">
      <c r="A60" t="s">
        <v>403</v>
      </c>
      <c r="B60" t="s">
        <v>52</v>
      </c>
      <c r="C60" t="s">
        <v>53</v>
      </c>
      <c r="D60" t="s">
        <v>259</v>
      </c>
      <c r="E60" t="s">
        <v>170</v>
      </c>
      <c r="F60" t="s">
        <v>354</v>
      </c>
      <c r="G60" s="7" t="str" cm="1">
        <f t="array" aca="1" ref="G60" ca="1">"ST"&amp;TEXT(SUMPRODUCT(1/COUNTIF(INDIRECT("$D$2:$D"&amp;(ROW($D$2)+MATCH(D60,$D$2:$D$148,0)-1)),$D$2:INDIRECT("$D"&amp;(ROW($D$2)+MATCH(D60,$D$2:$D$148,0)-1)))),"0000")</f>
        <v>ST0049</v>
      </c>
      <c r="H60" t="str">
        <f t="shared" si="0"/>
        <v>STATION</v>
      </c>
    </row>
    <row r="61" spans="1:8" ht="14.4" x14ac:dyDescent="0.3">
      <c r="A61" t="s">
        <v>404</v>
      </c>
      <c r="B61" t="s">
        <v>77</v>
      </c>
      <c r="C61" t="s">
        <v>78</v>
      </c>
      <c r="D61" t="s">
        <v>260</v>
      </c>
      <c r="E61" t="s">
        <v>169</v>
      </c>
      <c r="F61" t="s">
        <v>354</v>
      </c>
      <c r="G61" s="7" t="str" cm="1">
        <f t="array" aca="1" ref="G61" ca="1">"ST"&amp;TEXT(SUMPRODUCT(1/COUNTIF(INDIRECT("$D$2:$D"&amp;(ROW($D$2)+MATCH(D61,$D$2:$D$148,0)-1)),$D$2:INDIRECT("$D"&amp;(ROW($D$2)+MATCH(D61,$D$2:$D$148,0)-1)))),"0000")</f>
        <v>ST0050</v>
      </c>
      <c r="H61" t="str">
        <f t="shared" si="0"/>
        <v>STATION</v>
      </c>
    </row>
    <row r="62" spans="1:8" ht="14.4" x14ac:dyDescent="0.3">
      <c r="A62" t="s">
        <v>405</v>
      </c>
      <c r="B62" t="s">
        <v>261</v>
      </c>
      <c r="C62" t="s">
        <v>99</v>
      </c>
      <c r="D62" t="s">
        <v>262</v>
      </c>
      <c r="E62" t="s">
        <v>170</v>
      </c>
      <c r="F62" t="s">
        <v>354</v>
      </c>
      <c r="G62" s="7" t="str" cm="1">
        <f t="array" aca="1" ref="G62" ca="1">"ST"&amp;TEXT(SUMPRODUCT(1/COUNTIF(INDIRECT("$D$2:$D"&amp;(ROW($D$2)+MATCH(D62,$D$2:$D$148,0)-1)),$D$2:INDIRECT("$D"&amp;(ROW($D$2)+MATCH(D62,$D$2:$D$148,0)-1)))),"0000")</f>
        <v>ST0051</v>
      </c>
      <c r="H62" t="str">
        <f t="shared" si="0"/>
        <v>STATION</v>
      </c>
    </row>
    <row r="63" spans="1:8" ht="14.4" x14ac:dyDescent="0.3">
      <c r="A63" t="s">
        <v>406</v>
      </c>
      <c r="B63" t="s">
        <v>142</v>
      </c>
      <c r="C63" t="s">
        <v>143</v>
      </c>
      <c r="D63" t="s">
        <v>263</v>
      </c>
      <c r="E63" t="s">
        <v>170</v>
      </c>
      <c r="F63" t="s">
        <v>354</v>
      </c>
      <c r="G63" s="7" t="str" cm="1">
        <f t="array" aca="1" ref="G63" ca="1">"ST"&amp;TEXT(SUMPRODUCT(1/COUNTIF(INDIRECT("$D$2:$D"&amp;(ROW($D$2)+MATCH(D63,$D$2:$D$148,0)-1)),$D$2:INDIRECT("$D"&amp;(ROW($D$2)+MATCH(D63,$D$2:$D$148,0)-1)))),"0000")</f>
        <v>ST0052</v>
      </c>
      <c r="H63" t="str">
        <f t="shared" si="0"/>
        <v>STATION</v>
      </c>
    </row>
    <row r="64" spans="1:8" ht="14.4" x14ac:dyDescent="0.3">
      <c r="A64" t="s">
        <v>407</v>
      </c>
      <c r="B64" t="s">
        <v>17</v>
      </c>
      <c r="C64" t="s">
        <v>92</v>
      </c>
      <c r="D64" t="s">
        <v>264</v>
      </c>
      <c r="E64" t="s">
        <v>170</v>
      </c>
      <c r="F64" t="s">
        <v>354</v>
      </c>
      <c r="G64" s="7" t="str" cm="1">
        <f t="array" aca="1" ref="G64" ca="1">"ST"&amp;TEXT(SUMPRODUCT(1/COUNTIF(INDIRECT("$D$2:$D"&amp;(ROW($D$2)+MATCH(D64,$D$2:$D$148,0)-1)),$D$2:INDIRECT("$D"&amp;(ROW($D$2)+MATCH(D64,$D$2:$D$148,0)-1)))),"0000")</f>
        <v>ST0053</v>
      </c>
      <c r="H64" t="str">
        <f t="shared" si="0"/>
        <v>STATION</v>
      </c>
    </row>
    <row r="65" spans="1:8" ht="14.4" x14ac:dyDescent="0.3">
      <c r="A65" t="s">
        <v>407</v>
      </c>
      <c r="B65" t="s">
        <v>17</v>
      </c>
      <c r="C65" t="s">
        <v>18</v>
      </c>
      <c r="D65" t="s">
        <v>265</v>
      </c>
      <c r="E65" t="s">
        <v>170</v>
      </c>
      <c r="F65" t="s">
        <v>354</v>
      </c>
      <c r="G65" s="7" t="str" cm="1">
        <f t="array" aca="1" ref="G65" ca="1">"ST"&amp;TEXT(SUMPRODUCT(1/COUNTIF(INDIRECT("$D$2:$D"&amp;(ROW($D$2)+MATCH(D65,$D$2:$D$148,0)-1)),$D$2:INDIRECT("$D"&amp;(ROW($D$2)+MATCH(D65,$D$2:$D$148,0)-1)))),"0000")</f>
        <v>ST0054</v>
      </c>
      <c r="H65" t="str">
        <f t="shared" si="0"/>
        <v>STATION</v>
      </c>
    </row>
    <row r="66" spans="1:8" ht="14.4" x14ac:dyDescent="0.3">
      <c r="A66" t="s">
        <v>408</v>
      </c>
      <c r="B66" t="s">
        <v>10</v>
      </c>
      <c r="C66" t="s">
        <v>11</v>
      </c>
      <c r="D66" t="s">
        <v>266</v>
      </c>
      <c r="E66" t="s">
        <v>170</v>
      </c>
      <c r="F66" t="s">
        <v>354</v>
      </c>
      <c r="G66" s="7" t="str" cm="1">
        <f t="array" aca="1" ref="G66" ca="1">"ST"&amp;TEXT(SUMPRODUCT(1/COUNTIF(INDIRECT("$D$2:$D"&amp;(ROW($D$2)+MATCH(D66,$D$2:$D$148,0)-1)),$D$2:INDIRECT("$D"&amp;(ROW($D$2)+MATCH(D66,$D$2:$D$148,0)-1)))),"0000")</f>
        <v>ST0055</v>
      </c>
      <c r="H66" t="str">
        <f t="shared" si="0"/>
        <v>STATION</v>
      </c>
    </row>
    <row r="67" spans="1:8" ht="14.4" x14ac:dyDescent="0.3">
      <c r="A67" t="s">
        <v>409</v>
      </c>
      <c r="B67" t="s">
        <v>112</v>
      </c>
      <c r="C67" t="s">
        <v>113</v>
      </c>
      <c r="D67" t="s">
        <v>267</v>
      </c>
      <c r="E67" t="s">
        <v>170</v>
      </c>
      <c r="F67" t="s">
        <v>354</v>
      </c>
      <c r="G67" s="7" t="str" cm="1">
        <f t="array" aca="1" ref="G67" ca="1">"ST"&amp;TEXT(SUMPRODUCT(1/COUNTIF(INDIRECT("$D$2:$D"&amp;(ROW($D$2)+MATCH(D67,$D$2:$D$148,0)-1)),$D$2:INDIRECT("$D"&amp;(ROW($D$2)+MATCH(D67,$D$2:$D$148,0)-1)))),"0000")</f>
        <v>ST0056</v>
      </c>
      <c r="H67" t="str">
        <f t="shared" si="0"/>
        <v>STATION</v>
      </c>
    </row>
    <row r="68" spans="1:8" ht="14.4" x14ac:dyDescent="0.3">
      <c r="A68" t="s">
        <v>410</v>
      </c>
      <c r="B68" t="s">
        <v>116</v>
      </c>
      <c r="C68" t="s">
        <v>117</v>
      </c>
      <c r="D68" t="s">
        <v>243</v>
      </c>
      <c r="E68" t="s">
        <v>170</v>
      </c>
      <c r="F68" t="s">
        <v>354</v>
      </c>
      <c r="G68" s="7" t="str" cm="1">
        <f t="array" aca="1" ref="G68" ca="1">"ST"&amp;TEXT(SUMPRODUCT(1/COUNTIF(INDIRECT("$D$2:$D"&amp;(ROW($D$2)+MATCH(D68,$D$2:$D$148,0)-1)),$D$2:INDIRECT("$D"&amp;(ROW($D$2)+MATCH(D68,$D$2:$D$148,0)-1)))),"0000")</f>
        <v>ST0039</v>
      </c>
      <c r="H68" t="str">
        <f t="shared" ref="H68:H131" si="1">H67</f>
        <v>STATION</v>
      </c>
    </row>
    <row r="69" spans="1:8" ht="14.4" x14ac:dyDescent="0.3">
      <c r="A69" t="s">
        <v>411</v>
      </c>
      <c r="B69" t="s">
        <v>5</v>
      </c>
      <c r="C69" t="s">
        <v>6</v>
      </c>
      <c r="D69" t="s">
        <v>176</v>
      </c>
      <c r="E69" t="s">
        <v>170</v>
      </c>
      <c r="F69" t="s">
        <v>359</v>
      </c>
      <c r="G69" s="7" t="str" cm="1">
        <f t="array" aca="1" ref="G69" ca="1">"ST"&amp;TEXT(SUMPRODUCT(1/COUNTIF(INDIRECT("$D$2:$D"&amp;(ROW($D$2)+MATCH(D69,$D$2:$D$148,0)-1)),$D$2:INDIRECT("$D"&amp;(ROW($D$2)+MATCH(D69,$D$2:$D$148,0)-1)))),"0000")</f>
        <v>ST0007</v>
      </c>
      <c r="H69" t="str">
        <f t="shared" si="1"/>
        <v>STATION</v>
      </c>
    </row>
    <row r="70" spans="1:8" ht="14.4" x14ac:dyDescent="0.3">
      <c r="A70" t="s">
        <v>412</v>
      </c>
      <c r="B70" t="s">
        <v>79</v>
      </c>
      <c r="C70" t="s">
        <v>80</v>
      </c>
      <c r="D70" t="s">
        <v>268</v>
      </c>
      <c r="E70" t="s">
        <v>169</v>
      </c>
      <c r="F70" t="s">
        <v>354</v>
      </c>
      <c r="G70" s="7" t="str" cm="1">
        <f t="array" aca="1" ref="G70" ca="1">"ST"&amp;TEXT(SUMPRODUCT(1/COUNTIF(INDIRECT("$D$2:$D"&amp;(ROW($D$2)+MATCH(D70,$D$2:$D$148,0)-1)),$D$2:INDIRECT("$D"&amp;(ROW($D$2)+MATCH(D70,$D$2:$D$148,0)-1)))),"0000")</f>
        <v>ST0057</v>
      </c>
      <c r="H70" t="str">
        <f t="shared" si="1"/>
        <v>STATION</v>
      </c>
    </row>
    <row r="71" spans="1:8" ht="14.4" x14ac:dyDescent="0.3">
      <c r="A71" t="s">
        <v>413</v>
      </c>
      <c r="B71" t="s">
        <v>134</v>
      </c>
      <c r="C71" t="s">
        <v>135</v>
      </c>
      <c r="D71" t="s">
        <v>269</v>
      </c>
      <c r="E71" t="s">
        <v>170</v>
      </c>
      <c r="F71" t="s">
        <v>354</v>
      </c>
      <c r="G71" s="7" t="str" cm="1">
        <f t="array" aca="1" ref="G71" ca="1">"ST"&amp;TEXT(SUMPRODUCT(1/COUNTIF(INDIRECT("$D$2:$D"&amp;(ROW($D$2)+MATCH(D71,$D$2:$D$148,0)-1)),$D$2:INDIRECT("$D"&amp;(ROW($D$2)+MATCH(D71,$D$2:$D$148,0)-1)))),"0000")</f>
        <v>ST0058</v>
      </c>
      <c r="H71" t="str">
        <f t="shared" si="1"/>
        <v>STATION</v>
      </c>
    </row>
    <row r="72" spans="1:8" ht="14.4" x14ac:dyDescent="0.3">
      <c r="A72" t="s">
        <v>414</v>
      </c>
      <c r="B72" t="s">
        <v>38</v>
      </c>
      <c r="C72" t="s">
        <v>39</v>
      </c>
      <c r="D72" t="s">
        <v>270</v>
      </c>
      <c r="E72" t="s">
        <v>170</v>
      </c>
      <c r="F72" t="s">
        <v>354</v>
      </c>
      <c r="G72" s="7" t="str" cm="1">
        <f t="array" aca="1" ref="G72" ca="1">"ST"&amp;TEXT(SUMPRODUCT(1/COUNTIF(INDIRECT("$D$2:$D"&amp;(ROW($D$2)+MATCH(D72,$D$2:$D$148,0)-1)),$D$2:INDIRECT("$D"&amp;(ROW($D$2)+MATCH(D72,$D$2:$D$148,0)-1)))),"0000")</f>
        <v>ST0059</v>
      </c>
      <c r="H72" t="str">
        <f t="shared" si="1"/>
        <v>STATION</v>
      </c>
    </row>
    <row r="73" spans="1:8" ht="14.4" x14ac:dyDescent="0.3">
      <c r="A73" t="s">
        <v>414</v>
      </c>
      <c r="B73" t="s">
        <v>38</v>
      </c>
      <c r="C73" t="s">
        <v>271</v>
      </c>
      <c r="D73" t="s">
        <v>272</v>
      </c>
      <c r="E73" t="s">
        <v>170</v>
      </c>
      <c r="F73" t="s">
        <v>359</v>
      </c>
      <c r="G73" s="7" t="str" cm="1">
        <f t="array" aca="1" ref="G73" ca="1">"ST"&amp;TEXT(SUMPRODUCT(1/COUNTIF(INDIRECT("$D$2:$D"&amp;(ROW($D$2)+MATCH(D73,$D$2:$D$148,0)-1)),$D$2:INDIRECT("$D"&amp;(ROW($D$2)+MATCH(D73,$D$2:$D$148,0)-1)))),"0000")</f>
        <v>ST0009</v>
      </c>
      <c r="H73" t="str">
        <f t="shared" si="1"/>
        <v>STATION</v>
      </c>
    </row>
    <row r="74" spans="1:8" ht="14.4" x14ac:dyDescent="0.3">
      <c r="A74" t="s">
        <v>415</v>
      </c>
      <c r="B74" t="s">
        <v>273</v>
      </c>
      <c r="C74" t="s">
        <v>274</v>
      </c>
      <c r="D74" t="s">
        <v>292</v>
      </c>
      <c r="E74" t="s">
        <v>170</v>
      </c>
      <c r="F74" t="s">
        <v>359</v>
      </c>
      <c r="G74" s="7" t="str" cm="1">
        <f t="array" aca="1" ref="G74" ca="1">"ST"&amp;TEXT(SUMPRODUCT(1/COUNTIF(INDIRECT("$D$2:$D"&amp;(ROW($D$2)+MATCH(D74,$D$2:$D$148,0)-1)),$D$2:INDIRECT("$D"&amp;(ROW($D$2)+MATCH(D74,$D$2:$D$148,0)-1)))),"0000")</f>
        <v>ST0014</v>
      </c>
      <c r="H74" t="str">
        <f t="shared" si="1"/>
        <v>STATION</v>
      </c>
    </row>
    <row r="75" spans="1:8" ht="14.4" x14ac:dyDescent="0.3">
      <c r="A75" t="s">
        <v>416</v>
      </c>
      <c r="B75" t="s">
        <v>122</v>
      </c>
      <c r="C75" t="s">
        <v>123</v>
      </c>
      <c r="D75" t="s">
        <v>275</v>
      </c>
      <c r="E75" t="s">
        <v>169</v>
      </c>
      <c r="F75" t="s">
        <v>354</v>
      </c>
      <c r="G75" s="7" t="str" cm="1">
        <f t="array" aca="1" ref="G75" ca="1">"ST"&amp;TEXT(SUMPRODUCT(1/COUNTIF(INDIRECT("$D$2:$D"&amp;(ROW($D$2)+MATCH(D75,$D$2:$D$148,0)-1)),$D$2:INDIRECT("$D"&amp;(ROW($D$2)+MATCH(D75,$D$2:$D$148,0)-1)))),"0000")</f>
        <v>ST0060</v>
      </c>
      <c r="H75" t="str">
        <f t="shared" si="1"/>
        <v>STATION</v>
      </c>
    </row>
    <row r="76" spans="1:8" ht="14.4" x14ac:dyDescent="0.3">
      <c r="A76" t="s">
        <v>417</v>
      </c>
      <c r="B76" t="s">
        <v>276</v>
      </c>
      <c r="C76" t="s">
        <v>475</v>
      </c>
      <c r="D76" t="s">
        <v>277</v>
      </c>
      <c r="E76" t="s">
        <v>170</v>
      </c>
      <c r="F76" t="s">
        <v>354</v>
      </c>
      <c r="G76" s="7" t="str" cm="1">
        <f t="array" aca="1" ref="G76" ca="1">"ST"&amp;TEXT(SUMPRODUCT(1/COUNTIF(INDIRECT("$D$2:$D"&amp;(ROW($D$2)+MATCH(D76,$D$2:$D$148,0)-1)),$D$2:INDIRECT("$D"&amp;(ROW($D$2)+MATCH(D76,$D$2:$D$148,0)-1)))),"0000")</f>
        <v>ST0061</v>
      </c>
      <c r="H76" t="str">
        <f t="shared" si="1"/>
        <v>STATION</v>
      </c>
    </row>
    <row r="77" spans="1:8" ht="14.4" x14ac:dyDescent="0.3">
      <c r="A77" t="s">
        <v>418</v>
      </c>
      <c r="B77" t="s">
        <v>278</v>
      </c>
      <c r="C77" t="s">
        <v>279</v>
      </c>
      <c r="D77" t="s">
        <v>214</v>
      </c>
      <c r="E77" t="s">
        <v>170</v>
      </c>
      <c r="F77" t="s">
        <v>359</v>
      </c>
      <c r="G77" s="7" t="str" cm="1">
        <f t="array" aca="1" ref="G77" ca="1">"ST"&amp;TEXT(SUMPRODUCT(1/COUNTIF(INDIRECT("$D$2:$D"&amp;(ROW($D$2)+MATCH(D77,$D$2:$D$148,0)-1)),$D$2:INDIRECT("$D"&amp;(ROW($D$2)+MATCH(D77,$D$2:$D$148,0)-1)))),"0000")</f>
        <v>ST0024</v>
      </c>
      <c r="H77" t="str">
        <f t="shared" si="1"/>
        <v>STATION</v>
      </c>
    </row>
    <row r="78" spans="1:8" ht="14.4" x14ac:dyDescent="0.3">
      <c r="A78" t="s">
        <v>419</v>
      </c>
      <c r="B78" t="s">
        <v>280</v>
      </c>
      <c r="C78" t="s">
        <v>281</v>
      </c>
      <c r="D78" t="s">
        <v>236</v>
      </c>
      <c r="E78" t="s">
        <v>169</v>
      </c>
      <c r="F78" t="s">
        <v>359</v>
      </c>
      <c r="G78" s="7" t="str" cm="1">
        <f t="array" aca="1" ref="G78" ca="1">"ST"&amp;TEXT(SUMPRODUCT(1/COUNTIF(INDIRECT("$D$2:$D"&amp;(ROW($D$2)+MATCH(D78,$D$2:$D$148,0)-1)),$D$2:INDIRECT("$D"&amp;(ROW($D$2)+MATCH(D78,$D$2:$D$148,0)-1)))),"0000")</f>
        <v>ST0033</v>
      </c>
      <c r="H78" t="str">
        <f t="shared" si="1"/>
        <v>STATION</v>
      </c>
    </row>
    <row r="79" spans="1:8" ht="14.4" x14ac:dyDescent="0.3">
      <c r="A79" t="s">
        <v>420</v>
      </c>
      <c r="B79" t="s">
        <v>282</v>
      </c>
      <c r="C79" t="s">
        <v>283</v>
      </c>
      <c r="D79" t="s">
        <v>228</v>
      </c>
      <c r="E79" t="s">
        <v>169</v>
      </c>
      <c r="F79" t="s">
        <v>359</v>
      </c>
      <c r="G79" s="7" t="str" cm="1">
        <f t="array" aca="1" ref="G79" ca="1">"ST"&amp;TEXT(SUMPRODUCT(1/COUNTIF(INDIRECT("$D$2:$D"&amp;(ROW($D$2)+MATCH(D79,$D$2:$D$148,0)-1)),$D$2:INDIRECT("$D"&amp;(ROW($D$2)+MATCH(D79,$D$2:$D$148,0)-1)))),"0000")</f>
        <v>ST0028</v>
      </c>
      <c r="H79" t="str">
        <f t="shared" si="1"/>
        <v>STATION</v>
      </c>
    </row>
    <row r="80" spans="1:8" ht="14.4" x14ac:dyDescent="0.3">
      <c r="A80" t="s">
        <v>421</v>
      </c>
      <c r="B80" t="s">
        <v>60</v>
      </c>
      <c r="C80" t="s">
        <v>61</v>
      </c>
      <c r="D80" t="s">
        <v>284</v>
      </c>
      <c r="E80" t="s">
        <v>169</v>
      </c>
      <c r="F80" t="s">
        <v>354</v>
      </c>
      <c r="G80" s="7" t="str" cm="1">
        <f t="array" aca="1" ref="G80" ca="1">"ST"&amp;TEXT(SUMPRODUCT(1/COUNTIF(INDIRECT("$D$2:$D"&amp;(ROW($D$2)+MATCH(D80,$D$2:$D$148,0)-1)),$D$2:INDIRECT("$D"&amp;(ROW($D$2)+MATCH(D80,$D$2:$D$148,0)-1)))),"0000")</f>
        <v>ST0062</v>
      </c>
      <c r="H80" t="str">
        <f t="shared" si="1"/>
        <v>STATION</v>
      </c>
    </row>
    <row r="81" spans="1:8" ht="14.4" x14ac:dyDescent="0.3">
      <c r="A81" t="s">
        <v>422</v>
      </c>
      <c r="B81" t="s">
        <v>285</v>
      </c>
      <c r="C81" t="s">
        <v>286</v>
      </c>
      <c r="D81" t="s">
        <v>287</v>
      </c>
      <c r="E81" t="s">
        <v>170</v>
      </c>
      <c r="F81" t="s">
        <v>359</v>
      </c>
      <c r="G81" s="7" t="str" cm="1">
        <f t="array" aca="1" ref="G81" ca="1">"ST"&amp;TEXT(SUMPRODUCT(1/COUNTIF(INDIRECT("$D$2:$D"&amp;(ROW($D$2)+MATCH(D81,$D$2:$D$148,0)-1)),$D$2:INDIRECT("$D"&amp;(ROW($D$2)+MATCH(D81,$D$2:$D$148,0)-1)))),"0000")</f>
        <v>ST0005</v>
      </c>
      <c r="H81" t="str">
        <f t="shared" si="1"/>
        <v>STATION</v>
      </c>
    </row>
    <row r="82" spans="1:8" ht="14.4" x14ac:dyDescent="0.3">
      <c r="A82" t="s">
        <v>423</v>
      </c>
      <c r="B82" t="s">
        <v>162</v>
      </c>
      <c r="C82" t="s">
        <v>163</v>
      </c>
      <c r="D82" t="s">
        <v>288</v>
      </c>
      <c r="E82" t="s">
        <v>169</v>
      </c>
      <c r="F82" t="s">
        <v>354</v>
      </c>
      <c r="G82" s="7" t="str" cm="1">
        <f t="array" aca="1" ref="G82" ca="1">"ST"&amp;TEXT(SUMPRODUCT(1/COUNTIF(INDIRECT("$D$2:$D"&amp;(ROW($D$2)+MATCH(D82,$D$2:$D$148,0)-1)),$D$2:INDIRECT("$D"&amp;(ROW($D$2)+MATCH(D82,$D$2:$D$148,0)-1)))),"0000")</f>
        <v>ST0063</v>
      </c>
      <c r="H82" t="str">
        <f t="shared" si="1"/>
        <v>STATION</v>
      </c>
    </row>
    <row r="83" spans="1:8" ht="14.4" x14ac:dyDescent="0.3">
      <c r="A83" t="s">
        <v>424</v>
      </c>
      <c r="B83" t="s">
        <v>425</v>
      </c>
      <c r="C83" t="s">
        <v>426</v>
      </c>
      <c r="D83" t="s">
        <v>427</v>
      </c>
      <c r="E83" t="s">
        <v>170</v>
      </c>
      <c r="F83" t="s">
        <v>354</v>
      </c>
      <c r="G83" s="7" t="str" cm="1">
        <f t="array" aca="1" ref="G83" ca="1">"ST"&amp;TEXT(SUMPRODUCT(1/COUNTIF(INDIRECT("$D$2:$D"&amp;(ROW($D$2)+MATCH(D83,$D$2:$D$148,0)-1)),$D$2:INDIRECT("$D"&amp;(ROW($D$2)+MATCH(D83,$D$2:$D$148,0)-1)))),"0000")</f>
        <v>ST0064</v>
      </c>
      <c r="H83" t="str">
        <f t="shared" si="1"/>
        <v>STATION</v>
      </c>
    </row>
    <row r="84" spans="1:8" ht="14.4" x14ac:dyDescent="0.3">
      <c r="A84" t="s">
        <v>428</v>
      </c>
      <c r="B84" t="s">
        <v>104</v>
      </c>
      <c r="C84" t="s">
        <v>289</v>
      </c>
      <c r="D84" t="s">
        <v>202</v>
      </c>
      <c r="E84" t="s">
        <v>170</v>
      </c>
      <c r="F84" t="s">
        <v>356</v>
      </c>
      <c r="G84" s="7" t="str" cm="1">
        <f t="array" aca="1" ref="G84" ca="1">"ST"&amp;TEXT(SUMPRODUCT(1/COUNTIF(INDIRECT("$D$2:$D"&amp;(ROW($D$2)+MATCH(D84,$D$2:$D$148,0)-1)),$D$2:INDIRECT("$D"&amp;(ROW($D$2)+MATCH(D84,$D$2:$D$148,0)-1)))),"0000")</f>
        <v>ST0020</v>
      </c>
      <c r="H84" t="str">
        <f t="shared" si="1"/>
        <v>STATION</v>
      </c>
    </row>
    <row r="85" spans="1:8" ht="14.4" x14ac:dyDescent="0.3">
      <c r="A85" t="s">
        <v>428</v>
      </c>
      <c r="B85" t="s">
        <v>104</v>
      </c>
      <c r="C85" t="s">
        <v>105</v>
      </c>
      <c r="D85" t="s">
        <v>478</v>
      </c>
      <c r="E85" t="s">
        <v>170</v>
      </c>
      <c r="F85" t="s">
        <v>354</v>
      </c>
      <c r="G85" s="7" t="str" cm="1">
        <f t="array" aca="1" ref="G85" ca="1">"ST"&amp;TEXT(SUMPRODUCT(1/COUNTIF(INDIRECT("$D$2:$D"&amp;(ROW($D$2)+MATCH(D85,$D$2:$D$148,0)-1)),$D$2:INDIRECT("$D"&amp;(ROW($D$2)+MATCH(D85,$D$2:$D$148,0)-1)))),"0000")</f>
        <v>ST0065</v>
      </c>
      <c r="H85" t="str">
        <f t="shared" si="1"/>
        <v>STATION</v>
      </c>
    </row>
    <row r="86" spans="1:8" ht="14.4" x14ac:dyDescent="0.3">
      <c r="A86" t="s">
        <v>429</v>
      </c>
      <c r="B86" t="s">
        <v>290</v>
      </c>
      <c r="C86" t="s">
        <v>291</v>
      </c>
      <c r="D86" t="s">
        <v>292</v>
      </c>
      <c r="E86" t="s">
        <v>170</v>
      </c>
      <c r="F86" t="s">
        <v>359</v>
      </c>
      <c r="G86" s="7" t="str" cm="1">
        <f t="array" aca="1" ref="G86" ca="1">"ST"&amp;TEXT(SUMPRODUCT(1/COUNTIF(INDIRECT("$D$2:$D"&amp;(ROW($D$2)+MATCH(D86,$D$2:$D$148,0)-1)),$D$2:INDIRECT("$D"&amp;(ROW($D$2)+MATCH(D86,$D$2:$D$148,0)-1)))),"0000")</f>
        <v>ST0014</v>
      </c>
      <c r="H86" t="str">
        <f t="shared" si="1"/>
        <v>STATION</v>
      </c>
    </row>
    <row r="87" spans="1:8" ht="14.4" x14ac:dyDescent="0.3">
      <c r="A87" t="s">
        <v>430</v>
      </c>
      <c r="B87" t="s">
        <v>114</v>
      </c>
      <c r="C87" t="s">
        <v>115</v>
      </c>
      <c r="D87" t="s">
        <v>198</v>
      </c>
      <c r="E87" t="s">
        <v>169</v>
      </c>
      <c r="F87" t="s">
        <v>359</v>
      </c>
      <c r="G87" s="7" t="str" cm="1">
        <f t="array" aca="1" ref="G87" ca="1">"ST"&amp;TEXT(SUMPRODUCT(1/COUNTIF(INDIRECT("$D$2:$D"&amp;(ROW($D$2)+MATCH(D87,$D$2:$D$148,0)-1)),$D$2:INDIRECT("$D"&amp;(ROW($D$2)+MATCH(D87,$D$2:$D$148,0)-1)))),"0000")</f>
        <v>ST0017</v>
      </c>
      <c r="H87" t="str">
        <f t="shared" si="1"/>
        <v>STATION</v>
      </c>
    </row>
    <row r="88" spans="1:8" ht="14.4" x14ac:dyDescent="0.3">
      <c r="A88" t="s">
        <v>431</v>
      </c>
      <c r="B88" t="s">
        <v>95</v>
      </c>
      <c r="C88" t="s">
        <v>96</v>
      </c>
      <c r="D88" t="s">
        <v>472</v>
      </c>
      <c r="E88" t="s">
        <v>169</v>
      </c>
      <c r="F88" t="s">
        <v>354</v>
      </c>
      <c r="G88" s="7" t="str" cm="1">
        <f t="array" aca="1" ref="G88" ca="1">"ST"&amp;TEXT(SUMPRODUCT(1/COUNTIF(INDIRECT("$D$2:$D"&amp;(ROW($D$2)+MATCH(D88,$D$2:$D$148,0)-1)),$D$2:INDIRECT("$D"&amp;(ROW($D$2)+MATCH(D88,$D$2:$D$148,0)-1)))),"0000")</f>
        <v>ST0066</v>
      </c>
      <c r="H88" t="str">
        <f t="shared" si="1"/>
        <v>STATION</v>
      </c>
    </row>
    <row r="89" spans="1:8" ht="14.4" x14ac:dyDescent="0.3">
      <c r="A89" t="s">
        <v>432</v>
      </c>
      <c r="B89" t="s">
        <v>293</v>
      </c>
      <c r="C89" t="s">
        <v>294</v>
      </c>
      <c r="D89" t="s">
        <v>172</v>
      </c>
      <c r="E89" t="s">
        <v>170</v>
      </c>
      <c r="F89" t="s">
        <v>359</v>
      </c>
      <c r="G89" s="7" t="str" cm="1">
        <f t="array" aca="1" ref="G89" ca="1">"ST"&amp;TEXT(SUMPRODUCT(1/COUNTIF(INDIRECT("$D$2:$D"&amp;(ROW($D$2)+MATCH(D89,$D$2:$D$148,0)-1)),$D$2:INDIRECT("$D"&amp;(ROW($D$2)+MATCH(D89,$D$2:$D$148,0)-1)))),"0000")</f>
        <v>ST0018</v>
      </c>
      <c r="H89" t="str">
        <f t="shared" si="1"/>
        <v>STATION</v>
      </c>
    </row>
    <row r="90" spans="1:8" ht="14.4" x14ac:dyDescent="0.3">
      <c r="A90" t="s">
        <v>433</v>
      </c>
      <c r="B90" t="s">
        <v>295</v>
      </c>
      <c r="C90" t="s">
        <v>296</v>
      </c>
      <c r="D90" t="s">
        <v>187</v>
      </c>
      <c r="E90" t="s">
        <v>169</v>
      </c>
      <c r="F90" t="s">
        <v>356</v>
      </c>
      <c r="G90" s="7" t="str" cm="1">
        <f t="array" aca="1" ref="G90" ca="1">"ST"&amp;TEXT(SUMPRODUCT(1/COUNTIF(INDIRECT("$D$2:$D"&amp;(ROW($D$2)+MATCH(D90,$D$2:$D$148,0)-1)),$D$2:INDIRECT("$D"&amp;(ROW($D$2)+MATCH(D90,$D$2:$D$148,0)-1)))),"0000")</f>
        <v>ST0006</v>
      </c>
      <c r="H90" t="str">
        <f t="shared" si="1"/>
        <v>STATION</v>
      </c>
    </row>
    <row r="91" spans="1:8" ht="14.4" x14ac:dyDescent="0.3">
      <c r="A91" t="s">
        <v>434</v>
      </c>
      <c r="B91" t="s">
        <v>15</v>
      </c>
      <c r="C91" t="s">
        <v>16</v>
      </c>
      <c r="D91" t="s">
        <v>297</v>
      </c>
      <c r="E91" t="s">
        <v>170</v>
      </c>
      <c r="F91" t="s">
        <v>354</v>
      </c>
      <c r="G91" s="7" t="str" cm="1">
        <f t="array" aca="1" ref="G91" ca="1">"ST"&amp;TEXT(SUMPRODUCT(1/COUNTIF(INDIRECT("$D$2:$D"&amp;(ROW($D$2)+MATCH(D91,$D$2:$D$148,0)-1)),$D$2:INDIRECT("$D"&amp;(ROW($D$2)+MATCH(D91,$D$2:$D$148,0)-1)))),"0000")</f>
        <v>ST0067</v>
      </c>
      <c r="H91" t="str">
        <f t="shared" si="1"/>
        <v>STATION</v>
      </c>
    </row>
    <row r="92" spans="1:8" ht="14.4" x14ac:dyDescent="0.3">
      <c r="A92" t="s">
        <v>435</v>
      </c>
      <c r="B92" t="s">
        <v>69</v>
      </c>
      <c r="C92" t="s">
        <v>70</v>
      </c>
      <c r="D92" t="s">
        <v>476</v>
      </c>
      <c r="E92" t="s">
        <v>169</v>
      </c>
      <c r="F92" t="s">
        <v>354</v>
      </c>
      <c r="G92" s="7" t="str" cm="1">
        <f t="array" aca="1" ref="G92" ca="1">"ST"&amp;TEXT(SUMPRODUCT(1/COUNTIF(INDIRECT("$D$2:$D"&amp;(ROW($D$2)+MATCH(D92,$D$2:$D$148,0)-1)),$D$2:INDIRECT("$D"&amp;(ROW($D$2)+MATCH(D92,$D$2:$D$148,0)-1)))),"0000")</f>
        <v>ST0068</v>
      </c>
      <c r="H92" t="str">
        <f t="shared" si="1"/>
        <v>STATION</v>
      </c>
    </row>
    <row r="93" spans="1:8" ht="14.4" x14ac:dyDescent="0.3">
      <c r="A93" t="s">
        <v>436</v>
      </c>
      <c r="B93" t="s">
        <v>12</v>
      </c>
      <c r="C93" t="s">
        <v>91</v>
      </c>
      <c r="D93" t="s">
        <v>250</v>
      </c>
      <c r="E93" t="s">
        <v>170</v>
      </c>
      <c r="F93" t="s">
        <v>354</v>
      </c>
      <c r="G93" s="7" t="str" cm="1">
        <f t="array" aca="1" ref="G93" ca="1">"ST"&amp;TEXT(SUMPRODUCT(1/COUNTIF(INDIRECT("$D$2:$D"&amp;(ROW($D$2)+MATCH(D93,$D$2:$D$148,0)-1)),$D$2:INDIRECT("$D"&amp;(ROW($D$2)+MATCH(D93,$D$2:$D$148,0)-1)))),"0000")</f>
        <v>ST0042</v>
      </c>
      <c r="H93" t="str">
        <f t="shared" si="1"/>
        <v>STATION</v>
      </c>
    </row>
    <row r="94" spans="1:8" ht="14.4" x14ac:dyDescent="0.3">
      <c r="A94" t="s">
        <v>437</v>
      </c>
      <c r="B94" t="s">
        <v>58</v>
      </c>
      <c r="C94" t="s">
        <v>111</v>
      </c>
      <c r="D94" t="s">
        <v>298</v>
      </c>
      <c r="E94" t="s">
        <v>170</v>
      </c>
      <c r="F94" t="s">
        <v>354</v>
      </c>
      <c r="G94" s="7" t="str" cm="1">
        <f t="array" aca="1" ref="G94" ca="1">"ST"&amp;TEXT(SUMPRODUCT(1/COUNTIF(INDIRECT("$D$2:$D"&amp;(ROW($D$2)+MATCH(D94,$D$2:$D$148,0)-1)),$D$2:INDIRECT("$D"&amp;(ROW($D$2)+MATCH(D94,$D$2:$D$148,0)-1)))),"0000")</f>
        <v>ST0069</v>
      </c>
      <c r="H94" t="str">
        <f t="shared" si="1"/>
        <v>STATION</v>
      </c>
    </row>
    <row r="95" spans="1:8" ht="14.4" x14ac:dyDescent="0.3">
      <c r="A95" t="s">
        <v>437</v>
      </c>
      <c r="B95" t="s">
        <v>58</v>
      </c>
      <c r="C95" t="s">
        <v>59</v>
      </c>
      <c r="D95" t="s">
        <v>299</v>
      </c>
      <c r="E95" t="s">
        <v>170</v>
      </c>
      <c r="F95" t="s">
        <v>354</v>
      </c>
      <c r="G95" s="7" t="str" cm="1">
        <f t="array" aca="1" ref="G95" ca="1">"ST"&amp;TEXT(SUMPRODUCT(1/COUNTIF(INDIRECT("$D$2:$D"&amp;(ROW($D$2)+MATCH(D95,$D$2:$D$148,0)-1)),$D$2:INDIRECT("$D"&amp;(ROW($D$2)+MATCH(D95,$D$2:$D$148,0)-1)))),"0000")</f>
        <v>ST0070</v>
      </c>
      <c r="H95" t="str">
        <f t="shared" si="1"/>
        <v>STATION</v>
      </c>
    </row>
    <row r="96" spans="1:8" ht="14.4" x14ac:dyDescent="0.3">
      <c r="A96" t="s">
        <v>438</v>
      </c>
      <c r="B96" t="s">
        <v>13</v>
      </c>
      <c r="C96" t="s">
        <v>14</v>
      </c>
      <c r="D96" t="s">
        <v>300</v>
      </c>
      <c r="E96" t="s">
        <v>170</v>
      </c>
      <c r="F96" t="s">
        <v>359</v>
      </c>
      <c r="G96" s="7" t="str" cm="1">
        <f t="array" aca="1" ref="G96" ca="1">"ST"&amp;TEXT(SUMPRODUCT(1/COUNTIF(INDIRECT("$D$2:$D"&amp;(ROW($D$2)+MATCH(D96,$D$2:$D$148,0)-1)),$D$2:INDIRECT("$D"&amp;(ROW($D$2)+MATCH(D96,$D$2:$D$148,0)-1)))),"0000")</f>
        <v>ST0010</v>
      </c>
      <c r="H96" t="str">
        <f t="shared" si="1"/>
        <v>STATION</v>
      </c>
    </row>
    <row r="97" spans="1:8" ht="14.4" x14ac:dyDescent="0.3">
      <c r="A97" t="s">
        <v>439</v>
      </c>
      <c r="B97" t="s">
        <v>301</v>
      </c>
      <c r="C97" t="s">
        <v>302</v>
      </c>
      <c r="D97" t="s">
        <v>187</v>
      </c>
      <c r="E97" t="s">
        <v>169</v>
      </c>
      <c r="F97" t="s">
        <v>356</v>
      </c>
      <c r="G97" s="7" t="str" cm="1">
        <f t="array" aca="1" ref="G97" ca="1">"ST"&amp;TEXT(SUMPRODUCT(1/COUNTIF(INDIRECT("$D$2:$D"&amp;(ROW($D$2)+MATCH(D97,$D$2:$D$148,0)-1)),$D$2:INDIRECT("$D"&amp;(ROW($D$2)+MATCH(D97,$D$2:$D$148,0)-1)))),"0000")</f>
        <v>ST0006</v>
      </c>
      <c r="H97" t="str">
        <f t="shared" si="1"/>
        <v>STATION</v>
      </c>
    </row>
    <row r="98" spans="1:8" ht="14.4" x14ac:dyDescent="0.3">
      <c r="A98" t="s">
        <v>440</v>
      </c>
      <c r="B98" t="s">
        <v>303</v>
      </c>
      <c r="C98" t="s">
        <v>141</v>
      </c>
      <c r="D98" t="s">
        <v>164</v>
      </c>
      <c r="E98" t="s">
        <v>170</v>
      </c>
      <c r="F98" t="s">
        <v>359</v>
      </c>
      <c r="G98" s="7" t="str" cm="1">
        <f t="array" aca="1" ref="G98" ca="1">"ST"&amp;TEXT(SUMPRODUCT(1/COUNTIF(INDIRECT("$D$2:$D"&amp;(ROW($D$2)+MATCH(D98,$D$2:$D$148,0)-1)),$D$2:INDIRECT("$D"&amp;(ROW($D$2)+MATCH(D98,$D$2:$D$148,0)-1)))),"0000")</f>
        <v>ST0015</v>
      </c>
      <c r="H98" t="str">
        <f t="shared" si="1"/>
        <v>STATION</v>
      </c>
    </row>
    <row r="99" spans="1:8" ht="14.4" x14ac:dyDescent="0.3">
      <c r="A99" t="s">
        <v>441</v>
      </c>
      <c r="B99" t="s">
        <v>304</v>
      </c>
      <c r="C99" t="s">
        <v>305</v>
      </c>
      <c r="D99" t="s">
        <v>208</v>
      </c>
      <c r="E99" t="s">
        <v>170</v>
      </c>
      <c r="F99" t="s">
        <v>359</v>
      </c>
      <c r="G99" s="7" t="str" cm="1">
        <f t="array" aca="1" ref="G99" ca="1">"ST"&amp;TEXT(SUMPRODUCT(1/COUNTIF(INDIRECT("$D$2:$D"&amp;(ROW($D$2)+MATCH(D99,$D$2:$D$148,0)-1)),$D$2:INDIRECT("$D"&amp;(ROW($D$2)+MATCH(D99,$D$2:$D$148,0)-1)))),"0000")</f>
        <v>ST0022</v>
      </c>
      <c r="H99" t="str">
        <f t="shared" si="1"/>
        <v>STATION</v>
      </c>
    </row>
    <row r="100" spans="1:8" ht="14.4" x14ac:dyDescent="0.3">
      <c r="A100" t="s">
        <v>442</v>
      </c>
      <c r="B100" t="s">
        <v>306</v>
      </c>
      <c r="C100" t="s">
        <v>175</v>
      </c>
      <c r="D100" t="s">
        <v>174</v>
      </c>
      <c r="E100" t="s">
        <v>169</v>
      </c>
      <c r="F100" t="s">
        <v>354</v>
      </c>
      <c r="G100" s="7" t="str" cm="1">
        <f t="array" aca="1" ref="G100" ca="1">"ST"&amp;TEXT(SUMPRODUCT(1/COUNTIF(INDIRECT("$D$2:$D"&amp;(ROW($D$2)+MATCH(D100,$D$2:$D$148,0)-1)),$D$2:INDIRECT("$D"&amp;(ROW($D$2)+MATCH(D100,$D$2:$D$148,0)-1)))),"0000")</f>
        <v>ST0071</v>
      </c>
      <c r="H100" t="str">
        <f t="shared" si="1"/>
        <v>STATION</v>
      </c>
    </row>
    <row r="101" spans="1:8" ht="14.4" x14ac:dyDescent="0.3">
      <c r="A101" t="s">
        <v>443</v>
      </c>
      <c r="B101" t="s">
        <v>97</v>
      </c>
      <c r="C101" t="s">
        <v>98</v>
      </c>
      <c r="D101" t="s">
        <v>159</v>
      </c>
      <c r="E101" t="s">
        <v>170</v>
      </c>
      <c r="F101" t="s">
        <v>359</v>
      </c>
      <c r="G101" s="7" t="str" cm="1">
        <f t="array" aca="1" ref="G101" ca="1">"ST"&amp;TEXT(SUMPRODUCT(1/COUNTIF(INDIRECT("$D$2:$D"&amp;(ROW($D$2)+MATCH(D101,$D$2:$D$148,0)-1)),$D$2:INDIRECT("$D"&amp;(ROW($D$2)+MATCH(D101,$D$2:$D$148,0)-1)))),"0000")</f>
        <v>ST0072</v>
      </c>
      <c r="H101" t="str">
        <f t="shared" si="1"/>
        <v>STATION</v>
      </c>
    </row>
    <row r="102" spans="1:8" ht="14.4" x14ac:dyDescent="0.3">
      <c r="A102" t="s">
        <v>444</v>
      </c>
      <c r="B102" t="s">
        <v>73</v>
      </c>
      <c r="C102" t="s">
        <v>74</v>
      </c>
      <c r="D102" t="s">
        <v>307</v>
      </c>
      <c r="E102" t="s">
        <v>170</v>
      </c>
      <c r="F102" t="s">
        <v>354</v>
      </c>
      <c r="G102" s="7" t="str" cm="1">
        <f t="array" aca="1" ref="G102" ca="1">"ST"&amp;TEXT(SUMPRODUCT(1/COUNTIF(INDIRECT("$D$2:$D"&amp;(ROW($D$2)+MATCH(D102,$D$2:$D$148,0)-1)),$D$2:INDIRECT("$D"&amp;(ROW($D$2)+MATCH(D102,$D$2:$D$148,0)-1)))),"0000")</f>
        <v>ST0073</v>
      </c>
      <c r="H102" t="str">
        <f t="shared" si="1"/>
        <v>STATION</v>
      </c>
    </row>
    <row r="103" spans="1:8" s="4" customFormat="1" ht="15" customHeight="1" x14ac:dyDescent="0.3">
      <c r="A103" t="s">
        <v>445</v>
      </c>
      <c r="B103" t="s">
        <v>85</v>
      </c>
      <c r="C103" t="s">
        <v>87</v>
      </c>
      <c r="D103" t="s">
        <v>308</v>
      </c>
      <c r="E103" t="s">
        <v>170</v>
      </c>
      <c r="F103" t="s">
        <v>354</v>
      </c>
      <c r="G103" s="7" t="str" cm="1">
        <f t="array" aca="1" ref="G103" ca="1">"ST"&amp;TEXT(SUMPRODUCT(1/COUNTIF(INDIRECT("$D$2:$D"&amp;(ROW($D$2)+MATCH(D103,$D$2:$D$148,0)-1)),$D$2:INDIRECT("$D"&amp;(ROW($D$2)+MATCH(D103,$D$2:$D$148,0)-1)))),"0000")</f>
        <v>ST0074</v>
      </c>
      <c r="H103" t="str">
        <f t="shared" si="1"/>
        <v>STATION</v>
      </c>
    </row>
    <row r="104" spans="1:8" ht="15" customHeight="1" x14ac:dyDescent="0.3">
      <c r="A104" t="s">
        <v>445</v>
      </c>
      <c r="B104" t="s">
        <v>85</v>
      </c>
      <c r="C104" t="s">
        <v>86</v>
      </c>
      <c r="D104" t="s">
        <v>182</v>
      </c>
      <c r="E104" t="s">
        <v>170</v>
      </c>
      <c r="F104" t="s">
        <v>354</v>
      </c>
      <c r="G104" s="7" t="str" cm="1">
        <f t="array" aca="1" ref="G104" ca="1">"ST"&amp;TEXT(SUMPRODUCT(1/COUNTIF(INDIRECT("$D$2:$D"&amp;(ROW($D$2)+MATCH(D104,$D$2:$D$148,0)-1)),$D$2:INDIRECT("$D"&amp;(ROW($D$2)+MATCH(D104,$D$2:$D$148,0)-1)))),"0000")</f>
        <v>ST0003</v>
      </c>
      <c r="H104" t="str">
        <f t="shared" si="1"/>
        <v>STATION</v>
      </c>
    </row>
    <row r="105" spans="1:8" s="5" customFormat="1" ht="15" customHeight="1" x14ac:dyDescent="0.3">
      <c r="A105" t="s">
        <v>446</v>
      </c>
      <c r="B105" t="s">
        <v>108</v>
      </c>
      <c r="C105" t="s">
        <v>109</v>
      </c>
      <c r="D105" t="s">
        <v>309</v>
      </c>
      <c r="E105" t="s">
        <v>169</v>
      </c>
      <c r="F105" t="s">
        <v>354</v>
      </c>
      <c r="G105" s="7" t="str" cm="1">
        <f t="array" aca="1" ref="G105" ca="1">"ST"&amp;TEXT(SUMPRODUCT(1/COUNTIF(INDIRECT("$D$2:$D"&amp;(ROW($D$2)+MATCH(D105,$D$2:$D$148,0)-1)),$D$2:INDIRECT("$D"&amp;(ROW($D$2)+MATCH(D105,$D$2:$D$148,0)-1)))),"0000")</f>
        <v>ST0075</v>
      </c>
      <c r="H105" t="str">
        <f t="shared" si="1"/>
        <v>STATION</v>
      </c>
    </row>
    <row r="106" spans="1:8" s="5" customFormat="1" ht="15" customHeight="1" x14ac:dyDescent="0.3">
      <c r="A106" t="s">
        <v>446</v>
      </c>
      <c r="B106" t="s">
        <v>108</v>
      </c>
      <c r="C106" t="s">
        <v>110</v>
      </c>
      <c r="D106" t="s">
        <v>310</v>
      </c>
      <c r="E106" t="s">
        <v>169</v>
      </c>
      <c r="F106" t="s">
        <v>354</v>
      </c>
      <c r="G106" s="7" t="str" cm="1">
        <f t="array" aca="1" ref="G106" ca="1">"ST"&amp;TEXT(SUMPRODUCT(1/COUNTIF(INDIRECT("$D$2:$D"&amp;(ROW($D$2)+MATCH(D106,$D$2:$D$148,0)-1)),$D$2:INDIRECT("$D"&amp;(ROW($D$2)+MATCH(D106,$D$2:$D$148,0)-1)))),"0000")</f>
        <v>ST0076</v>
      </c>
      <c r="H106" t="str">
        <f t="shared" si="1"/>
        <v>STATION</v>
      </c>
    </row>
    <row r="107" spans="1:8" s="5" customFormat="1" ht="15" customHeight="1" x14ac:dyDescent="0.3">
      <c r="A107" t="s">
        <v>446</v>
      </c>
      <c r="B107" t="s">
        <v>108</v>
      </c>
      <c r="C107" t="s">
        <v>137</v>
      </c>
      <c r="D107" t="s">
        <v>311</v>
      </c>
      <c r="E107" t="s">
        <v>169</v>
      </c>
      <c r="F107" t="s">
        <v>354</v>
      </c>
      <c r="G107" s="7" t="str" cm="1">
        <f t="array" aca="1" ref="G107" ca="1">"ST"&amp;TEXT(SUMPRODUCT(1/COUNTIF(INDIRECT("$D$2:$D"&amp;(ROW($D$2)+MATCH(D107,$D$2:$D$148,0)-1)),$D$2:INDIRECT("$D"&amp;(ROW($D$2)+MATCH(D107,$D$2:$D$148,0)-1)))),"0000")</f>
        <v>ST0077</v>
      </c>
      <c r="H107" t="str">
        <f t="shared" si="1"/>
        <v>STATION</v>
      </c>
    </row>
    <row r="108" spans="1:8" ht="15" customHeight="1" x14ac:dyDescent="0.3">
      <c r="A108" t="s">
        <v>446</v>
      </c>
      <c r="B108" t="s">
        <v>108</v>
      </c>
      <c r="C108" t="s">
        <v>312</v>
      </c>
      <c r="D108" t="s">
        <v>269</v>
      </c>
      <c r="E108" t="s">
        <v>170</v>
      </c>
      <c r="F108" t="s">
        <v>359</v>
      </c>
      <c r="G108" s="7" t="str" cm="1">
        <f t="array" aca="1" ref="G108" ca="1">"ST"&amp;TEXT(SUMPRODUCT(1/COUNTIF(INDIRECT("$D$2:$D"&amp;(ROW($D$2)+MATCH(D108,$D$2:$D$148,0)-1)),$D$2:INDIRECT("$D"&amp;(ROW($D$2)+MATCH(D108,$D$2:$D$148,0)-1)))),"0000")</f>
        <v>ST0058</v>
      </c>
      <c r="H108" t="str">
        <f t="shared" si="1"/>
        <v>STATION</v>
      </c>
    </row>
    <row r="109" spans="1:8" ht="15" customHeight="1" x14ac:dyDescent="0.3">
      <c r="A109" t="s">
        <v>447</v>
      </c>
      <c r="B109" t="s">
        <v>42</v>
      </c>
      <c r="C109" t="s">
        <v>43</v>
      </c>
      <c r="D109" t="s">
        <v>211</v>
      </c>
      <c r="E109" t="s">
        <v>170</v>
      </c>
      <c r="F109" t="s">
        <v>354</v>
      </c>
      <c r="G109" s="7" t="str" cm="1">
        <f t="array" aca="1" ref="G109" ca="1">"ST"&amp;TEXT(SUMPRODUCT(1/COUNTIF(INDIRECT("$D$2:$D"&amp;(ROW($D$2)+MATCH(D109,$D$2:$D$148,0)-1)),$D$2:INDIRECT("$D"&amp;(ROW($D$2)+MATCH(D109,$D$2:$D$148,0)-1)))),"0000")</f>
        <v>ST0023</v>
      </c>
      <c r="H109" t="str">
        <f t="shared" si="1"/>
        <v>STATION</v>
      </c>
    </row>
    <row r="110" spans="1:8" ht="15" customHeight="1" x14ac:dyDescent="0.3">
      <c r="A110" t="s">
        <v>447</v>
      </c>
      <c r="B110" t="s">
        <v>42</v>
      </c>
      <c r="C110" t="s">
        <v>44</v>
      </c>
      <c r="D110" t="s">
        <v>313</v>
      </c>
      <c r="E110" t="s">
        <v>170</v>
      </c>
      <c r="F110" t="s">
        <v>354</v>
      </c>
      <c r="G110" s="7" t="str" cm="1">
        <f t="array" aca="1" ref="G110" ca="1">"ST"&amp;TEXT(SUMPRODUCT(1/COUNTIF(INDIRECT("$D$2:$D"&amp;(ROW($D$2)+MATCH(D110,$D$2:$D$148,0)-1)),$D$2:INDIRECT("$D"&amp;(ROW($D$2)+MATCH(D110,$D$2:$D$148,0)-1)))),"0000")</f>
        <v>ST0078</v>
      </c>
      <c r="H110" t="str">
        <f t="shared" si="1"/>
        <v>STATION</v>
      </c>
    </row>
    <row r="111" spans="1:8" ht="15" customHeight="1" x14ac:dyDescent="0.3">
      <c r="A111" t="s">
        <v>447</v>
      </c>
      <c r="B111" t="s">
        <v>42</v>
      </c>
      <c r="C111" t="s">
        <v>45</v>
      </c>
      <c r="D111" t="s">
        <v>314</v>
      </c>
      <c r="E111" t="s">
        <v>170</v>
      </c>
      <c r="F111" t="s">
        <v>354</v>
      </c>
      <c r="G111" s="7" t="str" cm="1">
        <f t="array" aca="1" ref="G111" ca="1">"ST"&amp;TEXT(SUMPRODUCT(1/COUNTIF(INDIRECT("$D$2:$D"&amp;(ROW($D$2)+MATCH(D111,$D$2:$D$148,0)-1)),$D$2:INDIRECT("$D"&amp;(ROW($D$2)+MATCH(D111,$D$2:$D$148,0)-1)))),"0000")</f>
        <v>ST0079</v>
      </c>
      <c r="H111" t="str">
        <f t="shared" si="1"/>
        <v>STATION</v>
      </c>
    </row>
    <row r="112" spans="1:8" ht="15" customHeight="1" x14ac:dyDescent="0.3">
      <c r="A112" t="s">
        <v>448</v>
      </c>
      <c r="B112" t="s">
        <v>315</v>
      </c>
      <c r="C112" t="s">
        <v>316</v>
      </c>
      <c r="D112" t="s">
        <v>314</v>
      </c>
      <c r="E112" t="s">
        <v>170</v>
      </c>
      <c r="F112" t="s">
        <v>359</v>
      </c>
      <c r="G112" s="7" t="str" cm="1">
        <f t="array" aca="1" ref="G112" ca="1">"ST"&amp;TEXT(SUMPRODUCT(1/COUNTIF(INDIRECT("$D$2:$D"&amp;(ROW($D$2)+MATCH(D112,$D$2:$D$148,0)-1)),$D$2:INDIRECT("$D"&amp;(ROW($D$2)+MATCH(D112,$D$2:$D$148,0)-1)))),"0000")</f>
        <v>ST0079</v>
      </c>
      <c r="H112" t="str">
        <f t="shared" si="1"/>
        <v>STATION</v>
      </c>
    </row>
    <row r="113" spans="1:8" ht="15" customHeight="1" x14ac:dyDescent="0.3">
      <c r="A113" t="s">
        <v>449</v>
      </c>
      <c r="B113" t="s">
        <v>83</v>
      </c>
      <c r="C113" t="s">
        <v>84</v>
      </c>
      <c r="D113" t="s">
        <v>317</v>
      </c>
      <c r="E113" t="s">
        <v>169</v>
      </c>
      <c r="F113" t="s">
        <v>354</v>
      </c>
      <c r="G113" s="7" t="str" cm="1">
        <f t="array" aca="1" ref="G113" ca="1">"ST"&amp;TEXT(SUMPRODUCT(1/COUNTIF(INDIRECT("$D$2:$D"&amp;(ROW($D$2)+MATCH(D113,$D$2:$D$148,0)-1)),$D$2:INDIRECT("$D"&amp;(ROW($D$2)+MATCH(D113,$D$2:$D$148,0)-1)))),"0000")</f>
        <v>ST0080</v>
      </c>
      <c r="H113" t="str">
        <f t="shared" si="1"/>
        <v>STATION</v>
      </c>
    </row>
    <row r="114" spans="1:8" ht="15" customHeight="1" x14ac:dyDescent="0.3">
      <c r="A114" t="s">
        <v>449</v>
      </c>
      <c r="B114" t="s">
        <v>83</v>
      </c>
      <c r="C114" t="s">
        <v>318</v>
      </c>
      <c r="D114" t="s">
        <v>319</v>
      </c>
      <c r="E114" t="s">
        <v>170</v>
      </c>
      <c r="F114" t="s">
        <v>359</v>
      </c>
      <c r="G114" s="7" t="str" cm="1">
        <f t="array" aca="1" ref="G114" ca="1">"ST"&amp;TEXT(SUMPRODUCT(1/COUNTIF(INDIRECT("$D$2:$D"&amp;(ROW($D$2)+MATCH(D114,$D$2:$D$148,0)-1)),$D$2:INDIRECT("$D"&amp;(ROW($D$2)+MATCH(D114,$D$2:$D$148,0)-1)))),"0000")</f>
        <v>ST0081</v>
      </c>
      <c r="H114" t="str">
        <f t="shared" si="1"/>
        <v>STATION</v>
      </c>
    </row>
    <row r="115" spans="1:8" ht="15" customHeight="1" x14ac:dyDescent="0.3">
      <c r="A115" t="s">
        <v>450</v>
      </c>
      <c r="B115" t="s">
        <v>100</v>
      </c>
      <c r="C115" t="s">
        <v>101</v>
      </c>
      <c r="D115" t="s">
        <v>319</v>
      </c>
      <c r="E115" t="s">
        <v>170</v>
      </c>
      <c r="F115" t="s">
        <v>359</v>
      </c>
      <c r="G115" s="7" t="str" cm="1">
        <f t="array" aca="1" ref="G115" ca="1">"ST"&amp;TEXT(SUMPRODUCT(1/COUNTIF(INDIRECT("$D$2:$D"&amp;(ROW($D$2)+MATCH(D115,$D$2:$D$148,0)-1)),$D$2:INDIRECT("$D"&amp;(ROW($D$2)+MATCH(D115,$D$2:$D$148,0)-1)))),"0000")</f>
        <v>ST0081</v>
      </c>
      <c r="H115" t="str">
        <f t="shared" si="1"/>
        <v>STATION</v>
      </c>
    </row>
    <row r="116" spans="1:8" ht="15" customHeight="1" x14ac:dyDescent="0.3">
      <c r="A116" t="s">
        <v>451</v>
      </c>
      <c r="B116" t="s">
        <v>320</v>
      </c>
      <c r="C116" t="s">
        <v>321</v>
      </c>
      <c r="D116" t="s">
        <v>329</v>
      </c>
      <c r="E116" t="s">
        <v>170</v>
      </c>
      <c r="F116" t="s">
        <v>359</v>
      </c>
      <c r="G116" s="7" t="str" cm="1">
        <f t="array" aca="1" ref="G116" ca="1">"ST"&amp;TEXT(SUMPRODUCT(1/COUNTIF(INDIRECT("$D$2:$D"&amp;(ROW($D$2)+MATCH(D116,$D$2:$D$148,0)-1)),$D$2:INDIRECT("$D"&amp;(ROW($D$2)+MATCH(D116,$D$2:$D$148,0)-1)))),"0000")</f>
        <v>ST0082</v>
      </c>
      <c r="H116" t="str">
        <f t="shared" si="1"/>
        <v>STATION</v>
      </c>
    </row>
    <row r="117" spans="1:8" ht="15" customHeight="1" x14ac:dyDescent="0.3">
      <c r="A117" t="s">
        <v>452</v>
      </c>
      <c r="B117" t="s">
        <v>66</v>
      </c>
      <c r="C117" t="s">
        <v>67</v>
      </c>
      <c r="D117" t="s">
        <v>322</v>
      </c>
      <c r="E117" t="s">
        <v>169</v>
      </c>
      <c r="F117" t="s">
        <v>354</v>
      </c>
      <c r="G117" s="7" t="str" cm="1">
        <f t="array" aca="1" ref="G117" ca="1">"ST"&amp;TEXT(SUMPRODUCT(1/COUNTIF(INDIRECT("$D$2:$D"&amp;(ROW($D$2)+MATCH(D117,$D$2:$D$148,0)-1)),$D$2:INDIRECT("$D"&amp;(ROW($D$2)+MATCH(D117,$D$2:$D$148,0)-1)))),"0000")</f>
        <v>ST0083</v>
      </c>
      <c r="H117" t="str">
        <f t="shared" si="1"/>
        <v>STATION</v>
      </c>
    </row>
    <row r="118" spans="1:8" ht="15" customHeight="1" x14ac:dyDescent="0.3">
      <c r="A118" t="s">
        <v>453</v>
      </c>
      <c r="B118" t="s">
        <v>46</v>
      </c>
      <c r="C118" t="s">
        <v>47</v>
      </c>
      <c r="D118" t="s">
        <v>323</v>
      </c>
      <c r="E118" t="s">
        <v>170</v>
      </c>
      <c r="F118" t="s">
        <v>354</v>
      </c>
      <c r="G118" s="7" t="str" cm="1">
        <f t="array" aca="1" ref="G118" ca="1">"ST"&amp;TEXT(SUMPRODUCT(1/COUNTIF(INDIRECT("$D$2:$D"&amp;(ROW($D$2)+MATCH(D118,$D$2:$D$148,0)-1)),$D$2:INDIRECT("$D"&amp;(ROW($D$2)+MATCH(D118,$D$2:$D$148,0)-1)))),"0000")</f>
        <v>ST0084</v>
      </c>
      <c r="H118" t="str">
        <f t="shared" si="1"/>
        <v>STATION</v>
      </c>
    </row>
    <row r="119" spans="1:8" ht="15" customHeight="1" x14ac:dyDescent="0.3">
      <c r="A119" t="s">
        <v>454</v>
      </c>
      <c r="B119" t="s">
        <v>19</v>
      </c>
      <c r="C119" t="s">
        <v>20</v>
      </c>
      <c r="D119" t="s">
        <v>205</v>
      </c>
      <c r="E119" t="s">
        <v>170</v>
      </c>
      <c r="F119" t="s">
        <v>359</v>
      </c>
      <c r="G119" s="7" t="str" cm="1">
        <f t="array" aca="1" ref="G119" ca="1">"ST"&amp;TEXT(SUMPRODUCT(1/COUNTIF(INDIRECT("$D$2:$D"&amp;(ROW($D$2)+MATCH(D119,$D$2:$D$148,0)-1)),$D$2:INDIRECT("$D"&amp;(ROW($D$2)+MATCH(D119,$D$2:$D$148,0)-1)))),"0000")</f>
        <v>ST0021</v>
      </c>
      <c r="H119" t="str">
        <f t="shared" si="1"/>
        <v>STATION</v>
      </c>
    </row>
    <row r="120" spans="1:8" ht="15" customHeight="1" x14ac:dyDescent="0.3">
      <c r="A120" t="s">
        <v>455</v>
      </c>
      <c r="B120" t="s">
        <v>24</v>
      </c>
      <c r="C120" t="s">
        <v>25</v>
      </c>
      <c r="D120" t="s">
        <v>324</v>
      </c>
      <c r="E120" t="s">
        <v>169</v>
      </c>
      <c r="F120" t="s">
        <v>354</v>
      </c>
      <c r="G120" s="7" t="str" cm="1">
        <f t="array" aca="1" ref="G120" ca="1">"ST"&amp;TEXT(SUMPRODUCT(1/COUNTIF(INDIRECT("$D$2:$D"&amp;(ROW($D$2)+MATCH(D120,$D$2:$D$148,0)-1)),$D$2:INDIRECT("$D"&amp;(ROW($D$2)+MATCH(D120,$D$2:$D$148,0)-1)))),"0000")</f>
        <v>ST0085</v>
      </c>
      <c r="H120" t="str">
        <f t="shared" si="1"/>
        <v>STATION</v>
      </c>
    </row>
    <row r="121" spans="1:8" ht="15" customHeight="1" x14ac:dyDescent="0.3">
      <c r="A121" t="s">
        <v>456</v>
      </c>
      <c r="B121" t="s">
        <v>145</v>
      </c>
      <c r="C121" t="s">
        <v>146</v>
      </c>
      <c r="D121" t="s">
        <v>325</v>
      </c>
      <c r="E121" t="s">
        <v>170</v>
      </c>
      <c r="F121" t="s">
        <v>354</v>
      </c>
      <c r="G121" s="7" t="str" cm="1">
        <f t="array" aca="1" ref="G121" ca="1">"ST"&amp;TEXT(SUMPRODUCT(1/COUNTIF(INDIRECT("$D$2:$D"&amp;(ROW($D$2)+MATCH(D121,$D$2:$D$148,0)-1)),$D$2:INDIRECT("$D"&amp;(ROW($D$2)+MATCH(D121,$D$2:$D$148,0)-1)))),"0000")</f>
        <v>ST0040</v>
      </c>
      <c r="H121" t="str">
        <f t="shared" si="1"/>
        <v>STATION</v>
      </c>
    </row>
    <row r="122" spans="1:8" ht="15" customHeight="1" x14ac:dyDescent="0.3">
      <c r="A122" t="s">
        <v>456</v>
      </c>
      <c r="B122" t="s">
        <v>145</v>
      </c>
      <c r="C122" t="s">
        <v>151</v>
      </c>
      <c r="D122" t="s">
        <v>326</v>
      </c>
      <c r="E122" t="s">
        <v>170</v>
      </c>
      <c r="F122" t="s">
        <v>354</v>
      </c>
      <c r="G122" s="7" t="str" cm="1">
        <f t="array" aca="1" ref="G122" ca="1">"ST"&amp;TEXT(SUMPRODUCT(1/COUNTIF(INDIRECT("$D$2:$D"&amp;(ROW($D$2)+MATCH(D122,$D$2:$D$148,0)-1)),$D$2:INDIRECT("$D"&amp;(ROW($D$2)+MATCH(D122,$D$2:$D$148,0)-1)))),"0000")</f>
        <v>ST0086</v>
      </c>
      <c r="H122" t="str">
        <f t="shared" si="1"/>
        <v>STATION</v>
      </c>
    </row>
    <row r="123" spans="1:8" ht="15" customHeight="1" x14ac:dyDescent="0.3">
      <c r="A123" t="s">
        <v>456</v>
      </c>
      <c r="B123" t="s">
        <v>145</v>
      </c>
      <c r="C123" t="s">
        <v>161</v>
      </c>
      <c r="D123" t="s">
        <v>344</v>
      </c>
      <c r="E123" t="s">
        <v>170</v>
      </c>
      <c r="F123" t="s">
        <v>354</v>
      </c>
      <c r="G123" s="7" t="str" cm="1">
        <f t="array" aca="1" ref="G123" ca="1">"ST"&amp;TEXT(SUMPRODUCT(1/COUNTIF(INDIRECT("$D$2:$D"&amp;(ROW($D$2)+MATCH(D123,$D$2:$D$148,0)-1)),$D$2:INDIRECT("$D"&amp;(ROW($D$2)+MATCH(D123,$D$2:$D$148,0)-1)))),"0000")</f>
        <v>ST0087</v>
      </c>
      <c r="H123" t="str">
        <f t="shared" si="1"/>
        <v>STATION</v>
      </c>
    </row>
    <row r="124" spans="1:8" ht="15" customHeight="1" x14ac:dyDescent="0.3">
      <c r="A124" t="s">
        <v>456</v>
      </c>
      <c r="B124" t="s">
        <v>145</v>
      </c>
      <c r="C124" t="s">
        <v>327</v>
      </c>
      <c r="D124" t="s">
        <v>328</v>
      </c>
      <c r="E124" t="s">
        <v>170</v>
      </c>
      <c r="F124" t="s">
        <v>354</v>
      </c>
      <c r="G124" s="7" t="str" cm="1">
        <f t="array" aca="1" ref="G124" ca="1">"ST"&amp;TEXT(SUMPRODUCT(1/COUNTIF(INDIRECT("$D$2:$D"&amp;(ROW($D$2)+MATCH(D124,$D$2:$D$148,0)-1)),$D$2:INDIRECT("$D"&amp;(ROW($D$2)+MATCH(D124,$D$2:$D$148,0)-1)))),"0000")</f>
        <v>ST0088</v>
      </c>
      <c r="H124" t="str">
        <f t="shared" si="1"/>
        <v>STATION</v>
      </c>
    </row>
    <row r="125" spans="1:8" ht="15" customHeight="1" x14ac:dyDescent="0.3">
      <c r="A125" t="s">
        <v>456</v>
      </c>
      <c r="B125" t="s">
        <v>145</v>
      </c>
      <c r="C125" t="s">
        <v>167</v>
      </c>
      <c r="D125" t="s">
        <v>248</v>
      </c>
      <c r="E125" t="s">
        <v>170</v>
      </c>
      <c r="F125" t="s">
        <v>354</v>
      </c>
      <c r="G125" s="7" t="str" cm="1">
        <f t="array" aca="1" ref="G125" ca="1">"ST"&amp;TEXT(SUMPRODUCT(1/COUNTIF(INDIRECT("$D$2:$D"&amp;(ROW($D$2)+MATCH(D125,$D$2:$D$148,0)-1)),$D$2:INDIRECT("$D"&amp;(ROW($D$2)+MATCH(D125,$D$2:$D$148,0)-1)))),"0000")</f>
        <v>ST0041</v>
      </c>
      <c r="H125" t="str">
        <f t="shared" si="1"/>
        <v>STATION</v>
      </c>
    </row>
    <row r="126" spans="1:8" ht="15" customHeight="1" x14ac:dyDescent="0.3">
      <c r="A126" t="s">
        <v>456</v>
      </c>
      <c r="B126" t="s">
        <v>145</v>
      </c>
      <c r="C126" t="s">
        <v>177</v>
      </c>
      <c r="D126" t="s">
        <v>176</v>
      </c>
      <c r="E126" t="s">
        <v>170</v>
      </c>
      <c r="F126" t="s">
        <v>354</v>
      </c>
      <c r="G126" s="7" t="str" cm="1">
        <f t="array" aca="1" ref="G126" ca="1">"ST"&amp;TEXT(SUMPRODUCT(1/COUNTIF(INDIRECT("$D$2:$D"&amp;(ROW($D$2)+MATCH(D126,$D$2:$D$148,0)-1)),$D$2:INDIRECT("$D"&amp;(ROW($D$2)+MATCH(D126,$D$2:$D$148,0)-1)))),"0000")</f>
        <v>ST0007</v>
      </c>
      <c r="H126" t="str">
        <f t="shared" si="1"/>
        <v>STATION</v>
      </c>
    </row>
    <row r="127" spans="1:8" ht="15" customHeight="1" x14ac:dyDescent="0.3">
      <c r="A127" t="s">
        <v>456</v>
      </c>
      <c r="B127" t="s">
        <v>145</v>
      </c>
      <c r="C127" t="s">
        <v>152</v>
      </c>
      <c r="D127" t="s">
        <v>329</v>
      </c>
      <c r="E127" t="s">
        <v>170</v>
      </c>
      <c r="F127" t="s">
        <v>354</v>
      </c>
      <c r="G127" s="7" t="str" cm="1">
        <f t="array" aca="1" ref="G127" ca="1">"ST"&amp;TEXT(SUMPRODUCT(1/COUNTIF(INDIRECT("$D$2:$D"&amp;(ROW($D$2)+MATCH(D127,$D$2:$D$148,0)-1)),$D$2:INDIRECT("$D"&amp;(ROW($D$2)+MATCH(D127,$D$2:$D$148,0)-1)))),"0000")</f>
        <v>ST0082</v>
      </c>
      <c r="H127" t="str">
        <f t="shared" si="1"/>
        <v>STATION</v>
      </c>
    </row>
    <row r="128" spans="1:8" ht="15" customHeight="1" x14ac:dyDescent="0.3">
      <c r="A128" t="s">
        <v>456</v>
      </c>
      <c r="B128" t="s">
        <v>145</v>
      </c>
      <c r="C128" t="s">
        <v>150</v>
      </c>
      <c r="D128" t="s">
        <v>330</v>
      </c>
      <c r="E128" t="s">
        <v>170</v>
      </c>
      <c r="F128" t="s">
        <v>354</v>
      </c>
      <c r="G128" s="7" t="str" cm="1">
        <f t="array" aca="1" ref="G128" ca="1">"ST"&amp;TEXT(SUMPRODUCT(1/COUNTIF(INDIRECT("$D$2:$D"&amp;(ROW($D$2)+MATCH(D128,$D$2:$D$148,0)-1)),$D$2:INDIRECT("$D"&amp;(ROW($D$2)+MATCH(D128,$D$2:$D$148,0)-1)))),"0000")</f>
        <v>ST0089</v>
      </c>
      <c r="H128" t="str">
        <f t="shared" si="1"/>
        <v>STATION</v>
      </c>
    </row>
    <row r="129" spans="1:8" ht="15" customHeight="1" x14ac:dyDescent="0.3">
      <c r="A129" t="s">
        <v>456</v>
      </c>
      <c r="B129" t="s">
        <v>145</v>
      </c>
      <c r="C129" t="s">
        <v>147</v>
      </c>
      <c r="D129" t="s">
        <v>331</v>
      </c>
      <c r="E129" t="s">
        <v>170</v>
      </c>
      <c r="F129" t="s">
        <v>354</v>
      </c>
      <c r="G129" s="7" t="str" cm="1">
        <f t="array" aca="1" ref="G129" ca="1">"ST"&amp;TEXT(SUMPRODUCT(1/COUNTIF(INDIRECT("$D$2:$D"&amp;(ROW($D$2)+MATCH(D129,$D$2:$D$148,0)-1)),$D$2:INDIRECT("$D"&amp;(ROW($D$2)+MATCH(D129,$D$2:$D$148,0)-1)))),"0000")</f>
        <v>ST0045</v>
      </c>
      <c r="H129" t="str">
        <f t="shared" si="1"/>
        <v>STATION</v>
      </c>
    </row>
    <row r="130" spans="1:8" ht="15" customHeight="1" x14ac:dyDescent="0.3">
      <c r="A130" t="s">
        <v>456</v>
      </c>
      <c r="B130" t="s">
        <v>145</v>
      </c>
      <c r="C130" t="s">
        <v>160</v>
      </c>
      <c r="D130" t="s">
        <v>159</v>
      </c>
      <c r="E130" t="s">
        <v>170</v>
      </c>
      <c r="F130" t="s">
        <v>354</v>
      </c>
      <c r="G130" s="7" t="str" cm="1">
        <f t="array" aca="1" ref="G130" ca="1">"ST"&amp;TEXT(SUMPRODUCT(1/COUNTIF(INDIRECT("$D$2:$D"&amp;(ROW($D$2)+MATCH(D130,$D$2:$D$148,0)-1)),$D$2:INDIRECT("$D"&amp;(ROW($D$2)+MATCH(D130,$D$2:$D$148,0)-1)))),"0000")</f>
        <v>ST0072</v>
      </c>
      <c r="H130" t="str">
        <f t="shared" si="1"/>
        <v>STATION</v>
      </c>
    </row>
    <row r="131" spans="1:8" ht="15" customHeight="1" x14ac:dyDescent="0.3">
      <c r="A131" t="s">
        <v>456</v>
      </c>
      <c r="B131" t="s">
        <v>145</v>
      </c>
      <c r="C131" t="s">
        <v>158</v>
      </c>
      <c r="D131" t="s">
        <v>332</v>
      </c>
      <c r="E131" t="s">
        <v>170</v>
      </c>
      <c r="F131" t="s">
        <v>354</v>
      </c>
      <c r="G131" s="7" t="str" cm="1">
        <f t="array" aca="1" ref="G131" ca="1">"ST"&amp;TEXT(SUMPRODUCT(1/COUNTIF(INDIRECT("$D$2:$D"&amp;(ROW($D$2)+MATCH(D131,$D$2:$D$148,0)-1)),$D$2:INDIRECT("$D"&amp;(ROW($D$2)+MATCH(D131,$D$2:$D$148,0)-1)))),"0000")</f>
        <v>ST0090</v>
      </c>
      <c r="H131" t="str">
        <f t="shared" si="1"/>
        <v>STATION</v>
      </c>
    </row>
    <row r="132" spans="1:8" ht="15" customHeight="1" x14ac:dyDescent="0.3">
      <c r="A132" t="s">
        <v>457</v>
      </c>
      <c r="B132" t="s">
        <v>333</v>
      </c>
      <c r="C132" t="s">
        <v>334</v>
      </c>
      <c r="D132" t="s">
        <v>335</v>
      </c>
      <c r="E132" t="s">
        <v>169</v>
      </c>
      <c r="F132" t="s">
        <v>359</v>
      </c>
      <c r="G132" s="7" t="str" cm="1">
        <f t="array" aca="1" ref="G132" ca="1">"ST"&amp;TEXT(SUMPRODUCT(1/COUNTIF(INDIRECT("$D$2:$D"&amp;(ROW($D$2)+MATCH(D132,$D$2:$D$148,0)-1)),$D$2:INDIRECT("$D"&amp;(ROW($D$2)+MATCH(D132,$D$2:$D$148,0)-1)))),"0000")</f>
        <v>ST0091</v>
      </c>
      <c r="H132" t="str">
        <f t="shared" ref="H132:H148" si="2">H131</f>
        <v>STATION</v>
      </c>
    </row>
    <row r="133" spans="1:8" ht="15" customHeight="1" x14ac:dyDescent="0.3">
      <c r="A133" t="s">
        <v>458</v>
      </c>
      <c r="B133" t="s">
        <v>32</v>
      </c>
      <c r="C133" t="s">
        <v>33</v>
      </c>
      <c r="D133" t="s">
        <v>335</v>
      </c>
      <c r="E133" t="s">
        <v>169</v>
      </c>
      <c r="F133" t="s">
        <v>359</v>
      </c>
      <c r="G133" s="7" t="str" cm="1">
        <f t="array" aca="1" ref="G133" ca="1">"ST"&amp;TEXT(SUMPRODUCT(1/COUNTIF(INDIRECT("$D$2:$D"&amp;(ROW($D$2)+MATCH(D133,$D$2:$D$148,0)-1)),$D$2:INDIRECT("$D"&amp;(ROW($D$2)+MATCH(D133,$D$2:$D$148,0)-1)))),"0000")</f>
        <v>ST0091</v>
      </c>
      <c r="H133" t="str">
        <f t="shared" si="2"/>
        <v>STATION</v>
      </c>
    </row>
    <row r="134" spans="1:8" ht="15" customHeight="1" x14ac:dyDescent="0.3">
      <c r="A134" t="s">
        <v>459</v>
      </c>
      <c r="B134" t="s">
        <v>336</v>
      </c>
      <c r="C134" t="s">
        <v>337</v>
      </c>
      <c r="D134" t="s">
        <v>335</v>
      </c>
      <c r="E134" t="s">
        <v>169</v>
      </c>
      <c r="F134" t="s">
        <v>354</v>
      </c>
      <c r="G134" s="7" t="str" cm="1">
        <f t="array" aca="1" ref="G134" ca="1">"ST"&amp;TEXT(SUMPRODUCT(1/COUNTIF(INDIRECT("$D$2:$D"&amp;(ROW($D$2)+MATCH(D134,$D$2:$D$148,0)-1)),$D$2:INDIRECT("$D"&amp;(ROW($D$2)+MATCH(D134,$D$2:$D$148,0)-1)))),"0000")</f>
        <v>ST0091</v>
      </c>
      <c r="H134" t="str">
        <f t="shared" si="2"/>
        <v>STATION</v>
      </c>
    </row>
    <row r="135" spans="1:8" ht="15" customHeight="1" x14ac:dyDescent="0.3">
      <c r="A135" t="s">
        <v>460</v>
      </c>
      <c r="B135" t="s">
        <v>130</v>
      </c>
      <c r="C135" t="s">
        <v>131</v>
      </c>
      <c r="D135" t="s">
        <v>338</v>
      </c>
      <c r="E135" t="s">
        <v>169</v>
      </c>
      <c r="F135" t="s">
        <v>354</v>
      </c>
      <c r="G135" s="7" t="str" cm="1">
        <f t="array" aca="1" ref="G135" ca="1">"ST"&amp;TEXT(SUMPRODUCT(1/COUNTIF(INDIRECT("$D$2:$D"&amp;(ROW($D$2)+MATCH(D135,$D$2:$D$148,0)-1)),$D$2:INDIRECT("$D"&amp;(ROW($D$2)+MATCH(D135,$D$2:$D$148,0)-1)))),"0000")</f>
        <v>ST0030</v>
      </c>
      <c r="H135" t="str">
        <f t="shared" si="2"/>
        <v>STATION</v>
      </c>
    </row>
    <row r="136" spans="1:8" ht="15" customHeight="1" x14ac:dyDescent="0.3">
      <c r="A136" t="s">
        <v>461</v>
      </c>
      <c r="B136" t="s">
        <v>54</v>
      </c>
      <c r="C136" t="s">
        <v>55</v>
      </c>
      <c r="D136" t="s">
        <v>339</v>
      </c>
      <c r="E136" t="s">
        <v>169</v>
      </c>
      <c r="F136" t="s">
        <v>354</v>
      </c>
      <c r="G136" s="7" t="str" cm="1">
        <f t="array" aca="1" ref="G136" ca="1">"ST"&amp;TEXT(SUMPRODUCT(1/COUNTIF(INDIRECT("$D$2:$D"&amp;(ROW($D$2)+MATCH(D136,$D$2:$D$148,0)-1)),$D$2:INDIRECT("$D"&amp;(ROW($D$2)+MATCH(D136,$D$2:$D$148,0)-1)))),"0000")</f>
        <v>ST0092</v>
      </c>
      <c r="H136" t="str">
        <f t="shared" si="2"/>
        <v>STATION</v>
      </c>
    </row>
    <row r="137" spans="1:8" ht="15" customHeight="1" x14ac:dyDescent="0.3">
      <c r="A137" t="s">
        <v>462</v>
      </c>
      <c r="B137" t="s">
        <v>340</v>
      </c>
      <c r="C137" t="s">
        <v>341</v>
      </c>
      <c r="D137" t="s">
        <v>264</v>
      </c>
      <c r="E137" t="s">
        <v>169</v>
      </c>
      <c r="F137" t="s">
        <v>359</v>
      </c>
      <c r="G137" s="7" t="str" cm="1">
        <f t="array" aca="1" ref="G137" ca="1">"ST"&amp;TEXT(SUMPRODUCT(1/COUNTIF(INDIRECT("$D$2:$D"&amp;(ROW($D$2)+MATCH(D137,$D$2:$D$148,0)-1)),$D$2:INDIRECT("$D"&amp;(ROW($D$2)+MATCH(D137,$D$2:$D$148,0)-1)))),"0000")</f>
        <v>ST0053</v>
      </c>
      <c r="H137" t="str">
        <f t="shared" si="2"/>
        <v>STATION</v>
      </c>
    </row>
    <row r="138" spans="1:8" ht="15" customHeight="1" x14ac:dyDescent="0.3">
      <c r="A138" t="s">
        <v>463</v>
      </c>
      <c r="B138" t="s">
        <v>64</v>
      </c>
      <c r="C138" t="s">
        <v>342</v>
      </c>
      <c r="D138" t="s">
        <v>349</v>
      </c>
      <c r="E138" t="s">
        <v>170</v>
      </c>
      <c r="F138" t="s">
        <v>359</v>
      </c>
      <c r="G138" s="7" t="str" cm="1">
        <f t="array" aca="1" ref="G138" ca="1">"ST"&amp;TEXT(SUMPRODUCT(1/COUNTIF(INDIRECT("$D$2:$D"&amp;(ROW($D$2)+MATCH(D138,$D$2:$D$148,0)-1)),$D$2:INDIRECT("$D"&amp;(ROW($D$2)+MATCH(D138,$D$2:$D$148,0)-1)))),"0000")</f>
        <v>ST0012</v>
      </c>
      <c r="H138" t="str">
        <f t="shared" si="2"/>
        <v>STATION</v>
      </c>
    </row>
    <row r="139" spans="1:8" ht="15" customHeight="1" x14ac:dyDescent="0.3">
      <c r="A139" t="s">
        <v>463</v>
      </c>
      <c r="B139" t="s">
        <v>64</v>
      </c>
      <c r="C139" t="s">
        <v>65</v>
      </c>
      <c r="D139" t="s">
        <v>343</v>
      </c>
      <c r="E139" t="s">
        <v>170</v>
      </c>
      <c r="F139" t="s">
        <v>354</v>
      </c>
      <c r="G139" s="7" t="str" cm="1">
        <f t="array" aca="1" ref="G139" ca="1">"ST"&amp;TEXT(SUMPRODUCT(1/COUNTIF(INDIRECT("$D$2:$D"&amp;(ROW($D$2)+MATCH(D139,$D$2:$D$148,0)-1)),$D$2:INDIRECT("$D"&amp;(ROW($D$2)+MATCH(D139,$D$2:$D$148,0)-1)))),"0000")</f>
        <v>ST0093</v>
      </c>
      <c r="H139" t="str">
        <f t="shared" si="2"/>
        <v>STATION</v>
      </c>
    </row>
    <row r="140" spans="1:8" ht="15" customHeight="1" x14ac:dyDescent="0.3">
      <c r="A140" t="s">
        <v>464</v>
      </c>
      <c r="B140" t="s">
        <v>168</v>
      </c>
      <c r="C140" t="s">
        <v>166</v>
      </c>
      <c r="D140" t="s">
        <v>319</v>
      </c>
      <c r="E140" t="s">
        <v>170</v>
      </c>
      <c r="F140" t="s">
        <v>354</v>
      </c>
      <c r="G140" s="7" t="str" cm="1">
        <f t="array" aca="1" ref="G140" ca="1">"ST"&amp;TEXT(SUMPRODUCT(1/COUNTIF(INDIRECT("$D$2:$D"&amp;(ROW($D$2)+MATCH(D140,$D$2:$D$148,0)-1)),$D$2:INDIRECT("$D"&amp;(ROW($D$2)+MATCH(D140,$D$2:$D$148,0)-1)))),"0000")</f>
        <v>ST0081</v>
      </c>
      <c r="H140" t="str">
        <f t="shared" si="2"/>
        <v>STATION</v>
      </c>
    </row>
    <row r="141" spans="1:8" ht="15" customHeight="1" x14ac:dyDescent="0.3">
      <c r="A141" t="s">
        <v>465</v>
      </c>
      <c r="B141" t="s">
        <v>88</v>
      </c>
      <c r="C141" t="s">
        <v>89</v>
      </c>
      <c r="D141" t="s">
        <v>344</v>
      </c>
      <c r="E141" t="s">
        <v>170</v>
      </c>
      <c r="F141" t="s">
        <v>359</v>
      </c>
      <c r="G141" s="7" t="str" cm="1">
        <f t="array" aca="1" ref="G141" ca="1">"ST"&amp;TEXT(SUMPRODUCT(1/COUNTIF(INDIRECT("$D$2:$D"&amp;(ROW($D$2)+MATCH(D141,$D$2:$D$148,0)-1)),$D$2:INDIRECT("$D"&amp;(ROW($D$2)+MATCH(D141,$D$2:$D$148,0)-1)))),"0000")</f>
        <v>ST0087</v>
      </c>
      <c r="H141" t="str">
        <f t="shared" si="2"/>
        <v>STATION</v>
      </c>
    </row>
    <row r="142" spans="1:8" ht="15" customHeight="1" x14ac:dyDescent="0.3">
      <c r="A142" t="s">
        <v>466</v>
      </c>
      <c r="B142" t="s">
        <v>120</v>
      </c>
      <c r="C142" t="s">
        <v>121</v>
      </c>
      <c r="D142" t="s">
        <v>223</v>
      </c>
      <c r="E142" t="s">
        <v>170</v>
      </c>
      <c r="F142" t="s">
        <v>354</v>
      </c>
      <c r="G142" s="7" t="str" cm="1">
        <f t="array" aca="1" ref="G142" ca="1">"ST"&amp;TEXT(SUMPRODUCT(1/COUNTIF(INDIRECT("$D$2:$D"&amp;(ROW($D$2)+MATCH(D142,$D$2:$D$148,0)-1)),$D$2:INDIRECT("$D"&amp;(ROW($D$2)+MATCH(D142,$D$2:$D$148,0)-1)))),"0000")</f>
        <v>ST0027</v>
      </c>
      <c r="H142" t="str">
        <f t="shared" si="2"/>
        <v>STATION</v>
      </c>
    </row>
    <row r="143" spans="1:8" ht="15" customHeight="1" x14ac:dyDescent="0.3">
      <c r="A143" t="s">
        <v>467</v>
      </c>
      <c r="B143" t="s">
        <v>345</v>
      </c>
      <c r="C143" t="s">
        <v>346</v>
      </c>
      <c r="D143" t="s">
        <v>313</v>
      </c>
      <c r="E143" t="s">
        <v>170</v>
      </c>
      <c r="F143" t="s">
        <v>359</v>
      </c>
      <c r="G143" s="7" t="str" cm="1">
        <f t="array" aca="1" ref="G143" ca="1">"ST"&amp;TEXT(SUMPRODUCT(1/COUNTIF(INDIRECT("$D$2:$D"&amp;(ROW($D$2)+MATCH(D143,$D$2:$D$148,0)-1)),$D$2:INDIRECT("$D"&amp;(ROW($D$2)+MATCH(D143,$D$2:$D$148,0)-1)))),"0000")</f>
        <v>ST0078</v>
      </c>
      <c r="H143" t="str">
        <f t="shared" si="2"/>
        <v>STATION</v>
      </c>
    </row>
    <row r="144" spans="1:8" ht="15" customHeight="1" x14ac:dyDescent="0.3">
      <c r="A144" t="s">
        <v>468</v>
      </c>
      <c r="B144" t="s">
        <v>75</v>
      </c>
      <c r="C144" t="s">
        <v>76</v>
      </c>
      <c r="D144" t="s">
        <v>347</v>
      </c>
      <c r="E144" t="s">
        <v>169</v>
      </c>
      <c r="F144" t="s">
        <v>354</v>
      </c>
      <c r="G144" s="7" t="str" cm="1">
        <f t="array" aca="1" ref="G144" ca="1">"ST"&amp;TEXT(SUMPRODUCT(1/COUNTIF(INDIRECT("$D$2:$D"&amp;(ROW($D$2)+MATCH(D144,$D$2:$D$148,0)-1)),$D$2:INDIRECT("$D"&amp;(ROW($D$2)+MATCH(D144,$D$2:$D$148,0)-1)))),"0000")</f>
        <v>ST0094</v>
      </c>
      <c r="H144" t="str">
        <f t="shared" si="2"/>
        <v>STATION</v>
      </c>
    </row>
    <row r="145" spans="1:8" ht="15" customHeight="1" x14ac:dyDescent="0.3">
      <c r="A145" t="s">
        <v>469</v>
      </c>
      <c r="B145" t="s">
        <v>348</v>
      </c>
      <c r="C145" t="s">
        <v>149</v>
      </c>
      <c r="D145" t="s">
        <v>148</v>
      </c>
      <c r="E145" t="s">
        <v>169</v>
      </c>
      <c r="F145" t="s">
        <v>354</v>
      </c>
      <c r="G145" s="7" t="str" cm="1">
        <f t="array" aca="1" ref="G145" ca="1">"ST"&amp;TEXT(SUMPRODUCT(1/COUNTIF(INDIRECT("$D$2:$D"&amp;(ROW($D$2)+MATCH(D145,$D$2:$D$148,0)-1)),$D$2:INDIRECT("$D"&amp;(ROW($D$2)+MATCH(D145,$D$2:$D$148,0)-1)))),"0000")</f>
        <v>ST0095</v>
      </c>
      <c r="H145" t="str">
        <f t="shared" si="2"/>
        <v>STATION</v>
      </c>
    </row>
    <row r="146" spans="1:8" ht="15" customHeight="1" x14ac:dyDescent="0.3">
      <c r="A146" t="s">
        <v>470</v>
      </c>
      <c r="B146" t="s">
        <v>62</v>
      </c>
      <c r="C146" t="s">
        <v>63</v>
      </c>
      <c r="D146" t="s">
        <v>349</v>
      </c>
      <c r="E146" t="s">
        <v>170</v>
      </c>
      <c r="F146" t="s">
        <v>354</v>
      </c>
      <c r="G146" s="7" t="str" cm="1">
        <f t="array" aca="1" ref="G146" ca="1">"ST"&amp;TEXT(SUMPRODUCT(1/COUNTIF(INDIRECT("$D$2:$D"&amp;(ROW($D$2)+MATCH(D146,$D$2:$D$148,0)-1)),$D$2:INDIRECT("$D"&amp;(ROW($D$2)+MATCH(D146,$D$2:$D$148,0)-1)))),"0000")</f>
        <v>ST0012</v>
      </c>
      <c r="H146" t="str">
        <f t="shared" si="2"/>
        <v>STATION</v>
      </c>
    </row>
    <row r="147" spans="1:8" ht="15" customHeight="1" x14ac:dyDescent="0.3">
      <c r="A147" t="s">
        <v>471</v>
      </c>
      <c r="B147" t="s">
        <v>350</v>
      </c>
      <c r="C147" t="s">
        <v>351</v>
      </c>
      <c r="D147" t="s">
        <v>258</v>
      </c>
      <c r="E147" t="s">
        <v>170</v>
      </c>
      <c r="F147" t="s">
        <v>359</v>
      </c>
      <c r="G147" s="7" t="str" cm="1">
        <f t="array" aca="1" ref="G147" ca="1">"ST"&amp;TEXT(SUMPRODUCT(1/COUNTIF(INDIRECT("$D$2:$D"&amp;(ROW($D$2)+MATCH(D147,$D$2:$D$148,0)-1)),$D$2:INDIRECT("$D"&amp;(ROW($D$2)+MATCH(D147,$D$2:$D$148,0)-1)))),"0000")</f>
        <v>ST0048</v>
      </c>
      <c r="H147" t="str">
        <f t="shared" si="2"/>
        <v>STATION</v>
      </c>
    </row>
    <row r="148" spans="1:8" ht="14.4" x14ac:dyDescent="0.3">
      <c r="A148" s="3" t="s">
        <v>473</v>
      </c>
      <c r="B148" s="7" t="s">
        <v>474</v>
      </c>
      <c r="C148" t="s">
        <v>140</v>
      </c>
      <c r="D148" s="7" t="s">
        <v>277</v>
      </c>
      <c r="E148" s="7" t="s">
        <v>170</v>
      </c>
      <c r="F148" t="s">
        <v>359</v>
      </c>
      <c r="G148" s="7" t="str" cm="1">
        <f t="array" aca="1" ref="G148" ca="1">"ST"&amp;TEXT(SUMPRODUCT(1/COUNTIF(INDIRECT("$D$2:$D"&amp;(ROW($D$2)+MATCH(D148,$D$2:$D$148,0)-1)),$D$2:INDIRECT("$D"&amp;(ROW($D$2)+MATCH(D148,$D$2:$D$148,0)-1)))),"0000")</f>
        <v>ST0061</v>
      </c>
      <c r="H148" t="str">
        <f t="shared" si="2"/>
        <v>STATION</v>
      </c>
    </row>
  </sheetData>
  <conditionalFormatting sqref="C1:C1048576">
    <cfRule type="duplicateValues" dxfId="13" priority="3"/>
  </conditionalFormatting>
  <conditionalFormatting sqref="C2:C90">
    <cfRule type="duplicateValues" dxfId="12" priority="13"/>
  </conditionalFormatting>
  <conditionalFormatting sqref="C84">
    <cfRule type="duplicateValues" dxfId="11" priority="12"/>
  </conditionalFormatting>
  <conditionalFormatting sqref="C85">
    <cfRule type="duplicateValues" dxfId="10" priority="11"/>
  </conditionalFormatting>
  <conditionalFormatting sqref="C86">
    <cfRule type="duplicateValues" dxfId="9" priority="10"/>
  </conditionalFormatting>
  <conditionalFormatting sqref="C87">
    <cfRule type="duplicateValues" dxfId="8" priority="9"/>
  </conditionalFormatting>
  <conditionalFormatting sqref="C88">
    <cfRule type="duplicateValues" dxfId="7" priority="8"/>
  </conditionalFormatting>
  <conditionalFormatting sqref="C91">
    <cfRule type="duplicateValues" dxfId="6" priority="7"/>
  </conditionalFormatting>
  <conditionalFormatting sqref="C102">
    <cfRule type="duplicateValues" dxfId="5" priority="5"/>
    <cfRule type="duplicateValues" dxfId="4" priority="6"/>
  </conditionalFormatting>
  <conditionalFormatting sqref="C108:C111">
    <cfRule type="duplicateValues" dxfId="3" priority="4"/>
  </conditionalFormatting>
  <conditionalFormatting sqref="C148">
    <cfRule type="duplicateValues" dxfId="2" priority="2"/>
  </conditionalFormatting>
  <conditionalFormatting sqref="D1">
    <cfRule type="duplicateValues" dxfId="1" priority="14"/>
  </conditionalFormatting>
  <conditionalFormatting sqref="D1:D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380B465AE380458E601704910D9B52" ma:contentTypeVersion="4" ma:contentTypeDescription="Crée un document." ma:contentTypeScope="" ma:versionID="0039fabe3320b7015b5c400cb811380d">
  <xsd:schema xmlns:xsd="http://www.w3.org/2001/XMLSchema" xmlns:xs="http://www.w3.org/2001/XMLSchema" xmlns:p="http://schemas.microsoft.com/office/2006/metadata/properties" xmlns:ns2="eec9ac91-1b81-431d-98d9-6146094f5b5e" targetNamespace="http://schemas.microsoft.com/office/2006/metadata/properties" ma:root="true" ma:fieldsID="3ce87244a6263b95ae52413f1544d77a" ns2:_="">
    <xsd:import namespace="eec9ac91-1b81-431d-98d9-6146094f5b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9ac91-1b81-431d-98d9-6146094f5b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9169B9-758E-48CB-BCCD-0400850E86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B064A2-14EF-4AC4-96E5-808938B7E6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c9ac91-1b81-431d-98d9-6146094f5b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238EE3-A21D-4B6B-9999-BF9A2FCAF6D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Ginette Sêdaminou GANYE</dc:creator>
  <cp:keywords/>
  <dc:description/>
  <cp:lastModifiedBy>Ginette Sêdaminou GANYE</cp:lastModifiedBy>
  <cp:revision/>
  <dcterms:created xsi:type="dcterms:W3CDTF">2025-01-07T07:27:05Z</dcterms:created>
  <dcterms:modified xsi:type="dcterms:W3CDTF">2026-06-02T15:25:43Z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0x01010092380B465AE380458E601704910D9B52</vt:lpwstr>
  </property>
</Properties>
</file>